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D51E1B8-9360-4C9C-9133-E31293867C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5" r:id="rId1"/>
    <sheet name="Sales History" sheetId="1" r:id="rId2"/>
    <sheet name="Product Master" sheetId="4" r:id="rId3"/>
    <sheet name="Forecast &amp; EOQ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5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C2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C3" i="3"/>
  <c r="F3" i="3" s="1"/>
  <c r="C4" i="3"/>
  <c r="F4" i="3" s="1"/>
  <c r="C5" i="3"/>
  <c r="F5" i="3" s="1"/>
  <c r="C6" i="3"/>
  <c r="F6" i="3" s="1"/>
  <c r="C7" i="3"/>
  <c r="F7" i="3" s="1"/>
  <c r="C8" i="3"/>
  <c r="F8" i="3" s="1"/>
  <c r="C9" i="3"/>
  <c r="F9" i="3" s="1"/>
  <c r="C10" i="3"/>
  <c r="F10" i="3" s="1"/>
  <c r="C11" i="3"/>
  <c r="F11" i="3" s="1"/>
  <c r="C12" i="3"/>
  <c r="F12" i="3" s="1"/>
  <c r="C13" i="3"/>
  <c r="F13" i="3" s="1"/>
  <c r="C14" i="3"/>
  <c r="F14" i="3" s="1"/>
  <c r="C15" i="3"/>
  <c r="F15" i="3" s="1"/>
  <c r="C16" i="3"/>
  <c r="F16" i="3" s="1"/>
  <c r="C17" i="3"/>
  <c r="F17" i="3" s="1"/>
  <c r="C18" i="3"/>
  <c r="F18" i="3" s="1"/>
  <c r="C19" i="3"/>
  <c r="F19" i="3" s="1"/>
  <c r="C20" i="3"/>
  <c r="F20" i="3" s="1"/>
  <c r="C21" i="3"/>
  <c r="F21" i="3" s="1"/>
  <c r="C2" i="3"/>
  <c r="F2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B2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L2" i="3" l="1"/>
  <c r="K2" i="3"/>
  <c r="J2" i="3"/>
  <c r="I2" i="3"/>
  <c r="G2" i="3"/>
  <c r="L21" i="3"/>
  <c r="K21" i="3"/>
  <c r="J21" i="3"/>
  <c r="I21" i="3"/>
  <c r="G21" i="3"/>
  <c r="L20" i="3"/>
  <c r="K20" i="3"/>
  <c r="J20" i="3"/>
  <c r="I20" i="3"/>
  <c r="G20" i="3"/>
  <c r="L19" i="3"/>
  <c r="K19" i="3"/>
  <c r="J19" i="3"/>
  <c r="I19" i="3"/>
  <c r="G19" i="3"/>
  <c r="L18" i="3"/>
  <c r="K18" i="3"/>
  <c r="J18" i="3"/>
  <c r="I18" i="3"/>
  <c r="G18" i="3"/>
  <c r="L17" i="3"/>
  <c r="K17" i="3"/>
  <c r="J17" i="3"/>
  <c r="I17" i="3"/>
  <c r="G17" i="3"/>
  <c r="L16" i="3"/>
  <c r="K16" i="3"/>
  <c r="J16" i="3"/>
  <c r="I16" i="3"/>
  <c r="G16" i="3"/>
  <c r="L15" i="3"/>
  <c r="K15" i="3"/>
  <c r="J15" i="3"/>
  <c r="I15" i="3"/>
  <c r="G15" i="3"/>
  <c r="L14" i="3"/>
  <c r="K14" i="3"/>
  <c r="J14" i="3"/>
  <c r="I14" i="3"/>
  <c r="G14" i="3"/>
  <c r="L13" i="3"/>
  <c r="K13" i="3"/>
  <c r="J13" i="3"/>
  <c r="I13" i="3"/>
  <c r="G13" i="3"/>
  <c r="L12" i="3"/>
  <c r="K12" i="3"/>
  <c r="J12" i="3"/>
  <c r="I12" i="3"/>
  <c r="G12" i="3"/>
  <c r="L11" i="3"/>
  <c r="K11" i="3"/>
  <c r="J11" i="3"/>
  <c r="I11" i="3"/>
  <c r="G11" i="3"/>
  <c r="L10" i="3"/>
  <c r="K10" i="3"/>
  <c r="J10" i="3"/>
  <c r="I10" i="3"/>
  <c r="G10" i="3"/>
  <c r="L9" i="3"/>
  <c r="K9" i="3"/>
  <c r="J9" i="3"/>
  <c r="I9" i="3"/>
  <c r="G9" i="3"/>
  <c r="L8" i="3"/>
  <c r="K8" i="3"/>
  <c r="J8" i="3"/>
  <c r="I8" i="3"/>
  <c r="G8" i="3"/>
  <c r="L7" i="3"/>
  <c r="K7" i="3"/>
  <c r="J7" i="3"/>
  <c r="I7" i="3"/>
  <c r="G7" i="3"/>
  <c r="L6" i="3"/>
  <c r="K6" i="3"/>
  <c r="J6" i="3"/>
  <c r="I6" i="3"/>
  <c r="G6" i="3"/>
  <c r="L5" i="3"/>
  <c r="K5" i="3"/>
  <c r="J5" i="3"/>
  <c r="I5" i="3"/>
  <c r="G5" i="3"/>
  <c r="L4" i="3"/>
  <c r="K4" i="3"/>
  <c r="J4" i="3"/>
  <c r="I4" i="3"/>
  <c r="G4" i="3"/>
  <c r="L3" i="3"/>
  <c r="K3" i="3"/>
  <c r="J3" i="3"/>
  <c r="I3" i="3"/>
  <c r="G3" i="3"/>
  <c r="P2" i="3"/>
  <c r="M2" i="3"/>
  <c r="H2" i="3"/>
  <c r="P21" i="3"/>
  <c r="M21" i="3"/>
  <c r="H21" i="3"/>
  <c r="P20" i="3"/>
  <c r="M20" i="3"/>
  <c r="H20" i="3"/>
  <c r="P19" i="3"/>
  <c r="M19" i="3"/>
  <c r="H19" i="3"/>
  <c r="P18" i="3"/>
  <c r="M18" i="3"/>
  <c r="H18" i="3"/>
  <c r="P17" i="3"/>
  <c r="M17" i="3"/>
  <c r="H17" i="3"/>
  <c r="P16" i="3"/>
  <c r="M16" i="3"/>
  <c r="H16" i="3"/>
  <c r="P15" i="3"/>
  <c r="M15" i="3"/>
  <c r="H15" i="3"/>
  <c r="P14" i="3"/>
  <c r="M14" i="3"/>
  <c r="H14" i="3"/>
  <c r="P13" i="3"/>
  <c r="M13" i="3"/>
  <c r="H13" i="3"/>
  <c r="P12" i="3"/>
  <c r="M12" i="3"/>
  <c r="H12" i="3"/>
  <c r="P11" i="3"/>
  <c r="M11" i="3"/>
  <c r="H11" i="3"/>
  <c r="P10" i="3"/>
  <c r="M10" i="3"/>
  <c r="H10" i="3"/>
  <c r="P9" i="3"/>
  <c r="M9" i="3"/>
  <c r="H9" i="3"/>
  <c r="P8" i="3"/>
  <c r="M8" i="3"/>
  <c r="H8" i="3"/>
  <c r="P7" i="3"/>
  <c r="M7" i="3"/>
  <c r="H7" i="3"/>
  <c r="P6" i="3"/>
  <c r="M6" i="3"/>
  <c r="H6" i="3"/>
  <c r="P5" i="3"/>
  <c r="M5" i="3"/>
  <c r="H5" i="3"/>
  <c r="P4" i="3"/>
  <c r="M4" i="3"/>
  <c r="H4" i="3"/>
  <c r="P3" i="3"/>
  <c r="M3" i="3"/>
  <c r="H3" i="3"/>
  <c r="S3" i="3" s="1"/>
  <c r="T3" i="3" s="1"/>
  <c r="U3" i="3" s="1"/>
  <c r="AD8" i="3" l="1"/>
  <c r="AC8" i="3" s="1"/>
  <c r="AD9" i="3"/>
  <c r="AC9" i="3" s="1"/>
  <c r="AD10" i="3"/>
  <c r="AC10" i="3" s="1"/>
  <c r="AD11" i="3"/>
  <c r="AC11" i="3" s="1"/>
  <c r="AD7" i="3"/>
  <c r="AC7" i="3" s="1"/>
  <c r="N3" i="3"/>
  <c r="S4" i="3"/>
  <c r="T4" i="3" s="1"/>
  <c r="U4" i="3" s="1"/>
  <c r="N4" i="3"/>
  <c r="S5" i="3"/>
  <c r="T5" i="3" s="1"/>
  <c r="U5" i="3" s="1"/>
  <c r="N5" i="3"/>
  <c r="S6" i="3"/>
  <c r="T6" i="3" s="1"/>
  <c r="U6" i="3" s="1"/>
  <c r="N6" i="3"/>
  <c r="S7" i="3"/>
  <c r="T7" i="3" s="1"/>
  <c r="U7" i="3" s="1"/>
  <c r="N7" i="3"/>
  <c r="S8" i="3"/>
  <c r="T8" i="3" s="1"/>
  <c r="U8" i="3" s="1"/>
  <c r="N8" i="3"/>
  <c r="S9" i="3"/>
  <c r="T9" i="3" s="1"/>
  <c r="U9" i="3" s="1"/>
  <c r="N9" i="3"/>
  <c r="S10" i="3"/>
  <c r="T10" i="3" s="1"/>
  <c r="U10" i="3" s="1"/>
  <c r="N10" i="3"/>
  <c r="S11" i="3"/>
  <c r="T11" i="3" s="1"/>
  <c r="U11" i="3" s="1"/>
  <c r="N11" i="3"/>
  <c r="S12" i="3"/>
  <c r="T12" i="3" s="1"/>
  <c r="U12" i="3" s="1"/>
  <c r="N12" i="3"/>
  <c r="S13" i="3"/>
  <c r="T13" i="3" s="1"/>
  <c r="U13" i="3" s="1"/>
  <c r="N13" i="3"/>
  <c r="S14" i="3"/>
  <c r="T14" i="3" s="1"/>
  <c r="U14" i="3" s="1"/>
  <c r="N14" i="3"/>
  <c r="S15" i="3"/>
  <c r="T15" i="3" s="1"/>
  <c r="U15" i="3" s="1"/>
  <c r="N15" i="3"/>
  <c r="S16" i="3"/>
  <c r="T16" i="3" s="1"/>
  <c r="U16" i="3" s="1"/>
  <c r="N16" i="3"/>
  <c r="S17" i="3"/>
  <c r="T17" i="3" s="1"/>
  <c r="U17" i="3" s="1"/>
  <c r="N17" i="3"/>
  <c r="S18" i="3"/>
  <c r="T18" i="3" s="1"/>
  <c r="U18" i="3" s="1"/>
  <c r="N18" i="3"/>
  <c r="S19" i="3"/>
  <c r="T19" i="3" s="1"/>
  <c r="U19" i="3" s="1"/>
  <c r="N19" i="3"/>
  <c r="S20" i="3"/>
  <c r="T20" i="3" s="1"/>
  <c r="U20" i="3" s="1"/>
  <c r="N20" i="3"/>
  <c r="S21" i="3"/>
  <c r="T21" i="3" s="1"/>
  <c r="U21" i="3" s="1"/>
  <c r="N21" i="3"/>
  <c r="K6" i="5"/>
  <c r="S2" i="3"/>
  <c r="T2" i="3" s="1"/>
  <c r="U2" i="3" s="1"/>
  <c r="N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V2" i="3" l="1"/>
  <c r="W2" i="3" s="1"/>
  <c r="O2" i="3"/>
  <c r="R2" i="3" s="1"/>
  <c r="AA8" i="3"/>
  <c r="AA7" i="3"/>
  <c r="AA6" i="3"/>
  <c r="U6" i="5"/>
  <c r="V21" i="3"/>
  <c r="W21" i="3" s="1"/>
  <c r="O21" i="3"/>
  <c r="R21" i="3" s="1"/>
  <c r="V20" i="3"/>
  <c r="W20" i="3" s="1"/>
  <c r="O20" i="3"/>
  <c r="R20" i="3" s="1"/>
  <c r="V19" i="3"/>
  <c r="W19" i="3" s="1"/>
  <c r="O19" i="3"/>
  <c r="R19" i="3" s="1"/>
  <c r="V18" i="3"/>
  <c r="W18" i="3" s="1"/>
  <c r="O18" i="3"/>
  <c r="R18" i="3" s="1"/>
  <c r="V17" i="3"/>
  <c r="W17" i="3" s="1"/>
  <c r="O17" i="3"/>
  <c r="R17" i="3" s="1"/>
  <c r="V16" i="3"/>
  <c r="W16" i="3" s="1"/>
  <c r="O16" i="3"/>
  <c r="R16" i="3" s="1"/>
  <c r="V15" i="3"/>
  <c r="W15" i="3" s="1"/>
  <c r="O15" i="3"/>
  <c r="R15" i="3" s="1"/>
  <c r="V14" i="3"/>
  <c r="W14" i="3" s="1"/>
  <c r="O14" i="3"/>
  <c r="R14" i="3" s="1"/>
  <c r="V13" i="3"/>
  <c r="W13" i="3" s="1"/>
  <c r="O13" i="3"/>
  <c r="R13" i="3" s="1"/>
  <c r="V12" i="3"/>
  <c r="W12" i="3" s="1"/>
  <c r="O12" i="3"/>
  <c r="R12" i="3" s="1"/>
  <c r="V11" i="3"/>
  <c r="W11" i="3" s="1"/>
  <c r="O11" i="3"/>
  <c r="R11" i="3" s="1"/>
  <c r="V10" i="3"/>
  <c r="W10" i="3" s="1"/>
  <c r="O10" i="3"/>
  <c r="R10" i="3" s="1"/>
  <c r="V9" i="3"/>
  <c r="W9" i="3" s="1"/>
  <c r="O9" i="3"/>
  <c r="R9" i="3" s="1"/>
  <c r="V8" i="3"/>
  <c r="W8" i="3" s="1"/>
  <c r="O8" i="3"/>
  <c r="R8" i="3" s="1"/>
  <c r="V7" i="3"/>
  <c r="W7" i="3" s="1"/>
  <c r="O7" i="3"/>
  <c r="R7" i="3" s="1"/>
  <c r="V6" i="3"/>
  <c r="W6" i="3" s="1"/>
  <c r="O6" i="3"/>
  <c r="R6" i="3" s="1"/>
  <c r="V5" i="3"/>
  <c r="W5" i="3" s="1"/>
  <c r="O5" i="3"/>
  <c r="R5" i="3" s="1"/>
  <c r="V4" i="3"/>
  <c r="W4" i="3" s="1"/>
  <c r="O4" i="3"/>
  <c r="R4" i="3" s="1"/>
  <c r="V3" i="3"/>
  <c r="W3" i="3" s="1"/>
  <c r="O3" i="3"/>
  <c r="R3" i="3" s="1"/>
  <c r="AA15" i="3" l="1"/>
  <c r="AA14" i="3"/>
  <c r="AA13" i="3"/>
  <c r="P6" i="5"/>
</calcChain>
</file>

<file path=xl/sharedStrings.xml><?xml version="1.0" encoding="utf-8"?>
<sst xmlns="http://schemas.openxmlformats.org/spreadsheetml/2006/main" count="154" uniqueCount="111">
  <si>
    <t>📦 RETAIL INVENTORY ANALYTICS</t>
  </si>
  <si>
    <t>DASHBOARD📈</t>
  </si>
  <si>
    <t xml:space="preserve">       Smarter Inventory • Better Decisions • Higher Profits</t>
  </si>
  <si>
    <r>
      <rPr>
        <b/>
        <sz val="11"/>
        <color theme="1"/>
        <rFont val="Calibri"/>
        <scheme val="minor"/>
      </rPr>
      <t>SALES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scheme val="minor"/>
      </rPr>
      <t>HISTORY</t>
    </r>
  </si>
  <si>
    <t>TOTAL PRODUCTS 📥</t>
  </si>
  <si>
    <t>TOTAL INVENTORY VALUE</t>
  </si>
  <si>
    <t>PRODUCTS AT RISK📉</t>
  </si>
  <si>
    <t>A-CLASS PRODUCTS</t>
  </si>
  <si>
    <t>PRODUCT MASTER</t>
  </si>
  <si>
    <r>
      <rPr>
        <b/>
        <sz val="11"/>
        <color theme="1"/>
        <rFont val="Calibri"/>
        <scheme val="minor"/>
      </rPr>
      <t>FORECAST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scheme val="minor"/>
      </rPr>
      <t>&amp;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scheme val="minor"/>
      </rPr>
      <t>EOQ</t>
    </r>
  </si>
  <si>
    <r>
      <rPr>
        <sz val="16"/>
        <color rgb="FFFFFFFF"/>
        <rFont val="Century Schoolbook"/>
      </rPr>
      <t xml:space="preserve">CATEGORY </t>
    </r>
    <r>
      <rPr>
        <sz val="18"/>
        <color rgb="FFFFFFFF"/>
        <rFont val="Century Schoolbook"/>
      </rPr>
      <t>▾</t>
    </r>
  </si>
  <si>
    <t>STOCK STATUS ▾</t>
  </si>
  <si>
    <t>Product ID</t>
  </si>
  <si>
    <t>Product Name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</si>
  <si>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</si>
  <si>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</si>
  <si>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</si>
  <si>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</si>
  <si>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</si>
  <si>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</si>
  <si>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</si>
  <si>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</si>
  <si>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</si>
  <si>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</si>
  <si>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</si>
  <si>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</si>
  <si>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</si>
  <si>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Units Sold</t>
  </si>
  <si>
    <t>Avg Monthly Demand</t>
  </si>
  <si>
    <t>P1000</t>
  </si>
  <si>
    <t>Wireless Earbuds</t>
  </si>
  <si>
    <t>Electronics Accessories</t>
  </si>
  <si>
    <t>P1001</t>
  </si>
  <si>
    <t>USB-C Charging Cable</t>
  </si>
  <si>
    <t>Home &amp; Kitchen</t>
  </si>
  <si>
    <t>P1002</t>
  </si>
  <si>
    <t>Bluetooth Speaker</t>
  </si>
  <si>
    <t>Apparel</t>
  </si>
  <si>
    <t>P1003</t>
  </si>
  <si>
    <t>Phone Stand</t>
  </si>
  <si>
    <t>Grocery</t>
  </si>
  <si>
    <t>P1004</t>
  </si>
  <si>
    <t>Non-Stick Frying Pan</t>
  </si>
  <si>
    <t>Beauty &amp; Personal Care</t>
  </si>
  <si>
    <t>P1005</t>
  </si>
  <si>
    <t>Ceramic Mug Set</t>
  </si>
  <si>
    <t>P1006</t>
  </si>
  <si>
    <t>Electric Kettle</t>
  </si>
  <si>
    <t>P1007</t>
  </si>
  <si>
    <t>Cutlery Set</t>
  </si>
  <si>
    <t>P1008</t>
  </si>
  <si>
    <t>Cotton T-Shirt</t>
  </si>
  <si>
    <t>P1009</t>
  </si>
  <si>
    <t>Denim Jeans</t>
  </si>
  <si>
    <t>P1010</t>
  </si>
  <si>
    <t>Running Shoes</t>
  </si>
  <si>
    <t>P1011</t>
  </si>
  <si>
    <t>Woolen Scarf</t>
  </si>
  <si>
    <t>P1012</t>
  </si>
  <si>
    <t>Basmati Rice 5kg</t>
  </si>
  <si>
    <t>P1013</t>
  </si>
  <si>
    <t>Cooking Oil 1L</t>
  </si>
  <si>
    <t>P1014</t>
  </si>
  <si>
    <t>Green Tea Pack</t>
  </si>
  <si>
    <t>P1015</t>
  </si>
  <si>
    <t>Breakfast Cereal</t>
  </si>
  <si>
    <t>P1016</t>
  </si>
  <si>
    <t>Face Moisturizer</t>
  </si>
  <si>
    <t>P1017</t>
  </si>
  <si>
    <t>Shampoo 400ml</t>
  </si>
  <si>
    <t>P1018</t>
  </si>
  <si>
    <t>Hand Wash 250ml</t>
  </si>
  <si>
    <t>P1019</t>
  </si>
  <si>
    <t>Lip Balm Pack</t>
  </si>
  <si>
    <t>Supplier</t>
  </si>
  <si>
    <t>Cost Price ($)</t>
  </si>
  <si>
    <t>Selling Price ($)</t>
  </si>
  <si>
    <t>Current Stock (Units)</t>
  </si>
  <si>
    <t>Lead Time (Days)</t>
  </si>
  <si>
    <t>Ordering Cost ($/order)</t>
  </si>
  <si>
    <t>Holding Cost (% per year)</t>
  </si>
  <si>
    <t>Nova Supplies Co.</t>
  </si>
  <si>
    <t>Prime Distributors</t>
  </si>
  <si>
    <t>Unity Wholesale</t>
  </si>
  <si>
    <t>Global Traders Ltd.</t>
  </si>
  <si>
    <t>Metro Logistics</t>
  </si>
  <si>
    <t>Forecast Next Month</t>
  </si>
  <si>
    <t>Annual Demand</t>
  </si>
  <si>
    <t>Annual Usage Value ($)</t>
  </si>
  <si>
    <t>Current Stock</t>
  </si>
  <si>
    <t>Ordering Cost ($)</t>
  </si>
  <si>
    <t>Holding Cost (%)</t>
  </si>
  <si>
    <t>Daily Demand</t>
  </si>
  <si>
    <t>Safety Stock</t>
  </si>
  <si>
    <t>Reorder Point</t>
  </si>
  <si>
    <t>EOQ (Units)</t>
  </si>
  <si>
    <t>Days of Stock Remaining</t>
  </si>
  <si>
    <t>Stock Status</t>
  </si>
  <si>
    <t>Value Rank</t>
  </si>
  <si>
    <t>Percentile</t>
  </si>
  <si>
    <t>ABC Class</t>
  </si>
  <si>
    <t>Adj. Reorder Point (What-If)</t>
  </si>
  <si>
    <t>At Risk? (What-If)</t>
  </si>
  <si>
    <t>Products</t>
  </si>
  <si>
    <t>A Class</t>
  </si>
  <si>
    <t>Inventory Value</t>
  </si>
  <si>
    <t>B Class</t>
  </si>
  <si>
    <t>C Class</t>
  </si>
  <si>
    <t>Healthy</t>
  </si>
  <si>
    <t>Monitor</t>
  </si>
  <si>
    <t>Reorder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</si>
</sst>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theme="1"/>
      <name val="Calibri"/>
      <family val="2"/>
      <scheme val="minor"/>
    </font>
    <font>
      <b/>
      <sz val="10"/>
      <color rgb="FF0000FF"/>
      <name val="Arial"/>
      <charset val="1"/>
    </font>
    <font>
      <sz val="14"/>
      <color rgb="FFFFFFFF"/>
      <name val="Calibri"/>
      <scheme val="minor"/>
    </font>
    <font>
      <sz val="14"/>
      <color theme="0"/>
      <name val="Calibri"/>
      <family val="2"/>
      <scheme val="minor"/>
    </font>
    <font>
      <b/>
      <sz val="16"/>
      <color theme="1"/>
      <name val="Batang"/>
    </font>
    <font>
      <sz val="2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theme="0"/>
      <name val="Angsana New"/>
    </font>
    <font>
      <sz val="14"/>
      <color theme="0"/>
      <name val="Batang"/>
    </font>
    <font>
      <sz val="16"/>
      <color rgb="FFFFFFFF"/>
      <name val="Century Schoolbook"/>
    </font>
    <font>
      <sz val="18"/>
      <color rgb="FFFFFFFF"/>
      <name val="Century Schoolbook"/>
    </font>
    <font>
      <sz val="11"/>
      <color rgb="FFFFFFFF"/>
      <name val="Century Schoolbook"/>
    </font>
  </fonts>
  <fills count="10">
    <fill>
      <patternFill patternType="none"/>
    </fill>
    <fill>
      <patternFill patternType="gray125"/>
    </fill>
    <fill>
      <patternFill patternType="solid">
        <fgColor rgb="FF193C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BEDC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2" fontId="4" fillId="3" borderId="1" xfId="0" applyNumberFormat="1" applyFont="1" applyFill="1" applyBorder="1"/>
    <xf numFmtId="8" fontId="4" fillId="3" borderId="1" xfId="0" applyNumberFormat="1" applyFont="1" applyFill="1" applyBorder="1"/>
    <xf numFmtId="6" fontId="4" fillId="3" borderId="1" xfId="0" applyNumberFormat="1" applyFont="1" applyFill="1" applyBorder="1"/>
    <xf numFmtId="10" fontId="4" fillId="3" borderId="1" xfId="0" applyNumberFormat="1" applyFont="1" applyFill="1" applyBorder="1"/>
    <xf numFmtId="0" fontId="4" fillId="4" borderId="1" xfId="0" applyFont="1" applyFill="1" applyBorder="1"/>
    <xf numFmtId="9" fontId="4" fillId="3" borderId="1" xfId="0" applyNumberFormat="1" applyFont="1" applyFill="1" applyBorder="1"/>
    <xf numFmtId="8" fontId="7" fillId="0" borderId="1" xfId="0" applyNumberFormat="1" applyFont="1" applyBorder="1"/>
    <xf numFmtId="0" fontId="3" fillId="2" borderId="2" xfId="0" applyFont="1" applyFill="1" applyBorder="1"/>
    <xf numFmtId="8" fontId="7" fillId="0" borderId="3" xfId="0" applyNumberFormat="1" applyFont="1" applyBorder="1"/>
    <xf numFmtId="0" fontId="7" fillId="0" borderId="1" xfId="0" applyFont="1" applyBorder="1"/>
    <xf numFmtId="10" fontId="7" fillId="0" borderId="1" xfId="0" applyNumberFormat="1" applyFont="1" applyBorder="1"/>
    <xf numFmtId="1" fontId="4" fillId="3" borderId="1" xfId="0" applyNumberFormat="1" applyFont="1" applyFill="1" applyBorder="1"/>
    <xf numFmtId="0" fontId="0" fillId="0" borderId="0" xfId="0" applyAlignment="1"/>
    <xf numFmtId="0" fontId="10" fillId="7" borderId="0" xfId="0" applyFont="1" applyFill="1" applyBorder="1" applyAlignment="1"/>
    <xf numFmtId="0" fontId="0" fillId="7" borderId="0" xfId="0" applyFont="1" applyFill="1" applyBorder="1"/>
    <xf numFmtId="0" fontId="12" fillId="0" borderId="0" xfId="0" applyFont="1"/>
    <xf numFmtId="0" fontId="0" fillId="0" borderId="4" xfId="0" applyBorder="1"/>
    <xf numFmtId="0" fontId="0" fillId="0" borderId="4" xfId="0" quotePrefix="1" applyBorder="1"/>
    <xf numFmtId="0" fontId="13" fillId="8" borderId="4" xfId="0" applyFont="1" applyFill="1" applyBorder="1"/>
    <xf numFmtId="0" fontId="12" fillId="8" borderId="4" xfId="0" applyFont="1" applyFill="1" applyBorder="1"/>
    <xf numFmtId="0" fontId="12" fillId="5" borderId="4" xfId="0" applyFont="1" applyFill="1" applyBorder="1"/>
    <xf numFmtId="0" fontId="0" fillId="7" borderId="0" xfId="0" applyFill="1"/>
    <xf numFmtId="0" fontId="0" fillId="9" borderId="0" xfId="0" applyFill="1"/>
    <xf numFmtId="0" fontId="18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6" fillId="9" borderId="0" xfId="0" applyFont="1" applyFill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 wrapText="1"/>
    </xf>
    <xf numFmtId="0" fontId="15" fillId="6" borderId="0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6" fontId="11" fillId="7" borderId="0" xfId="0" applyNumberFormat="1" applyFont="1" applyFill="1" applyAlignment="1">
      <alignment horizontal="center"/>
    </xf>
    <xf numFmtId="0" fontId="1" fillId="7" borderId="0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theme="1"/>
      </font>
      <fill>
        <patternFill patternType="solid">
          <bgColor theme="7" tint="0.5999938962981048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32426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ABC INVENTORY DISTRIBUTION</a:t>
            </a:r>
          </a:p>
        </c:rich>
      </c:tx>
      <c:layout>
        <c:manualLayout>
          <c:xMode val="edge"/>
          <c:yMode val="edge"/>
          <c:x val="0.20054121972718489"/>
          <c:y val="1.1630302177177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'Forecast &amp; EOQ'!$AA$5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D0CECE"/>
            </a:solidFill>
          </c:spPr>
          <c:dPt>
            <c:idx val="0"/>
            <c:bubble3D val="0"/>
            <c:spPr>
              <a:solidFill>
                <a:srgbClr val="D0CE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E9D-42AE-861F-2D7B87BBF436}"/>
              </c:ext>
            </c:extLst>
          </c:dPt>
          <c:dPt>
            <c:idx val="1"/>
            <c:bubble3D val="0"/>
            <c:spPr>
              <a:solidFill>
                <a:srgbClr val="5959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9D-42AE-861F-2D7B87BBF436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9D-42AE-861F-2D7B87BBF4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'Forecast &amp; EOQ'!$Z$6:$Z$8</c:f>
              <c:strCache>
                <c:ptCount val="3"/>
                <c:pt idx="0">
                  <c:v>A Class</c:v>
                </c:pt>
                <c:pt idx="1">
                  <c:v>B Class</c:v>
                </c:pt>
                <c:pt idx="2">
                  <c:v>C Class</c:v>
                </c:pt>
              </c:strCache>
            </c:strRef>
          </c:cat>
          <c:val>
            <c:numRef>
              <c:f>'Forecast &amp; EOQ'!$AA$6:$AA$8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9D-42AE-861F-2D7B87BBF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STOCK HEALTH</a:t>
            </a:r>
          </a:p>
        </c:rich>
      </c:tx>
      <c:layout>
        <c:manualLayout>
          <c:xMode val="edge"/>
          <c:yMode val="edge"/>
          <c:x val="0.33838129725388799"/>
          <c:y val="2.7044547872340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&amp; EOQ'!$AA$12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'Forecast &amp; EOQ'!$Z$13:$Z$15</c:f>
              <c:strCache>
                <c:ptCount val="3"/>
                <c:pt idx="0">
                  <c:v>Healthy</c:v>
                </c:pt>
                <c:pt idx="1">
                  <c:v>Monitor</c:v>
                </c:pt>
                <c:pt idx="2">
                  <c:v>Reorder Now</c:v>
                </c:pt>
              </c:strCache>
            </c:strRef>
          </c:cat>
          <c:val>
            <c:numRef>
              <c:f>'Forecast &amp; EOQ'!$AA$13:$AA$15</c:f>
              <c:numCache>
                <c:formatCode>General</c:formatCode>
                <c:ptCount val="3"/>
                <c:pt idx="0">
                  <c:v>16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57-487A-981E-0D55066FC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1"/>
        <c:overlap val="-27"/>
        <c:axId val="334281224"/>
        <c:axId val="1055072264"/>
      </c:barChart>
      <c:catAx>
        <c:axId val="33428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72264"/>
        <c:crosses val="autoZero"/>
        <c:auto val="1"/>
        <c:lblAlgn val="ctr"/>
        <c:lblOffset val="100"/>
        <c:noMultiLvlLbl val="0"/>
      </c:catAx>
      <c:valAx>
        <c:axId val="105507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28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TOP 5 PRODUCTS BY INVENTORY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'Forecast &amp; EOQ'!$AD$6</c:f>
              <c:strCache>
                <c:ptCount val="1"/>
                <c:pt idx="0">
                  <c:v>Inventory Value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'Forecast &amp; EOQ'!$AC$7:$AC$11</c:f>
              <c:strCache>
                <c:ptCount val="5"/>
                <c:pt idx="0">
                  <c:v>Woolen Scarf</c:v>
                </c:pt>
                <c:pt idx="1">
                  <c:v>USB-C Charging Cable</c:v>
                </c:pt>
                <c:pt idx="2">
                  <c:v>Basmati Rice 5kg</c:v>
                </c:pt>
                <c:pt idx="3">
                  <c:v>Cotton T-Shirt</c:v>
                </c:pt>
                <c:pt idx="4">
                  <c:v>Shampoo 400ml</c:v>
                </c:pt>
              </c:strCache>
            </c:strRef>
          </c:cat>
          <c:val>
            <c:numRef>
              <c:f>'Forecast &amp; EOQ'!$AD$7:$AD$11</c:f>
              <c:numCache>
                <c:formatCode>General</c:formatCode>
                <c:ptCount val="5"/>
                <c:pt idx="0">
                  <c:v>99250.84</c:v>
                </c:pt>
                <c:pt idx="1">
                  <c:v>62623.049999999996</c:v>
                </c:pt>
                <c:pt idx="2">
                  <c:v>62457.100000000006</c:v>
                </c:pt>
                <c:pt idx="3">
                  <c:v>57603.96</c:v>
                </c:pt>
                <c:pt idx="4">
                  <c:v>50385.209999999992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0-4E7F-9327-664F014D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0719879"/>
        <c:axId val="1120721927"/>
      </c:barChart>
      <c:catAx>
        <c:axId val="1120719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21927"/>
        <c:crosses val="autoZero"/>
        <c:auto val="1"/>
        <c:lblAlgn val="ctr"/>
        <c:lblOffset val="100"/>
        <c:noMultiLvlLbl val="0"/>
      </c:catAx>
      <c:valAx>
        <c:axId val="1120721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1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AVG MONTHLY DEMAND VS NEXT-MONTH FORECAST (BY PRODUCT)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&amp; EOQ'!$C$1</c:f>
              <c:strCache>
                <c:ptCount val="1"/>
                <c:pt idx="0">
                  <c:v>Avg Monthly Demand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'Forecast &amp; EOQ'!$B$2:$B$21</c:f>
              <c:strCache>
                <c:ptCount val="20"/>
                <c:pt idx="0">
                  <c:v>Wireless Earbuds</c:v>
                </c:pt>
                <c:pt idx="1">
                  <c:v>USB-C Charging Cable</c:v>
                </c:pt>
                <c:pt idx="2">
                  <c:v>Bluetooth Speaker</c:v>
                </c:pt>
                <c:pt idx="3">
                  <c:v>Phone Stand</c:v>
                </c:pt>
                <c:pt idx="4">
                  <c:v>Non-Stick Frying Pan</c:v>
                </c:pt>
                <c:pt idx="5">
                  <c:v>Ceramic Mug Set</c:v>
                </c:pt>
                <c:pt idx="6">
                  <c:v>Electric Kettle</c:v>
                </c:pt>
                <c:pt idx="7">
                  <c:v>Cutlery Set</c:v>
                </c:pt>
                <c:pt idx="8">
                  <c:v>Cotton T-Shirt</c:v>
                </c:pt>
                <c:pt idx="9">
                  <c:v>Denim Jeans</c:v>
                </c:pt>
                <c:pt idx="10">
                  <c:v>Running Shoes</c:v>
                </c:pt>
                <c:pt idx="11">
                  <c:v>Woolen Scarf</c:v>
                </c:pt>
                <c:pt idx="12">
                  <c:v>Basmati Rice 5kg</c:v>
                </c:pt>
                <c:pt idx="13">
                  <c:v>Cooking Oil 1L</c:v>
                </c:pt>
                <c:pt idx="14">
                  <c:v>Green Tea Pack</c:v>
                </c:pt>
                <c:pt idx="15">
                  <c:v>Breakfast Cereal</c:v>
                </c:pt>
                <c:pt idx="16">
                  <c:v>Face Moisturizer</c:v>
                </c:pt>
                <c:pt idx="17">
                  <c:v>Shampoo 400ml</c:v>
                </c:pt>
                <c:pt idx="18">
                  <c:v>Hand Wash 250ml</c:v>
                </c:pt>
                <c:pt idx="19">
                  <c:v>Lip Balm Pack</c:v>
                </c:pt>
              </c:strCache>
            </c:strRef>
          </c:cat>
          <c:val>
            <c:numRef>
              <c:f>'Forecast &amp; EOQ'!$C$2:$C$21</c:f>
              <c:numCache>
                <c:formatCode>0.0</c:formatCode>
                <c:ptCount val="20"/>
                <c:pt idx="0">
                  <c:v>138.66666666666666</c:v>
                </c:pt>
                <c:pt idx="1">
                  <c:v>91.25</c:v>
                </c:pt>
                <c:pt idx="2">
                  <c:v>72.25</c:v>
                </c:pt>
                <c:pt idx="3">
                  <c:v>44.583333333333336</c:v>
                </c:pt>
                <c:pt idx="4">
                  <c:v>53.333333333333336</c:v>
                </c:pt>
                <c:pt idx="5">
                  <c:v>84.083333333333329</c:v>
                </c:pt>
                <c:pt idx="6">
                  <c:v>103.25</c:v>
                </c:pt>
                <c:pt idx="7">
                  <c:v>68</c:v>
                </c:pt>
                <c:pt idx="8">
                  <c:v>128.83333333333334</c:v>
                </c:pt>
                <c:pt idx="9">
                  <c:v>30.416666666666668</c:v>
                </c:pt>
                <c:pt idx="10">
                  <c:v>147.58333333333334</c:v>
                </c:pt>
                <c:pt idx="11">
                  <c:v>141.91666666666666</c:v>
                </c:pt>
                <c:pt idx="12">
                  <c:v>103.16666666666667</c:v>
                </c:pt>
                <c:pt idx="13">
                  <c:v>129.5</c:v>
                </c:pt>
                <c:pt idx="14">
                  <c:v>94.583333333333329</c:v>
                </c:pt>
                <c:pt idx="15">
                  <c:v>90.5</c:v>
                </c:pt>
                <c:pt idx="16">
                  <c:v>38.75</c:v>
                </c:pt>
                <c:pt idx="17">
                  <c:v>127.58333333333333</c:v>
                </c:pt>
                <c:pt idx="18">
                  <c:v>127.25</c:v>
                </c:pt>
                <c:pt idx="19">
                  <c:v>37.916666666666664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5-4AE5-A344-7DFD1F4F7472}"/>
            </c:ext>
          </c:extLst>
        </c:ser>
        <c:ser>
          <c:idx val="1"/>
          <c:order val="1"/>
          <c:tx>
            <c:strRef>
              <c:f>'Forecast &amp; EOQ'!$D$1</c:f>
              <c:strCache>
                <c:ptCount val="1"/>
                <c:pt idx="0">
                  <c:v>Forecast Next Month</c:v>
                </c:pt>
              </c:strCache>
            </c:strRef>
          </c:tx>
          <c:spPr>
            <a:solidFill>
              <a:srgbClr val="AEAAAA"/>
            </a:solidFill>
            <a:ln>
              <a:noFill/>
            </a:ln>
            <a:effectLst/>
          </c:spPr>
          <c:invertIfNegative val="0"/>
          <c:cat>
            <c:strRef>
              <c:f>'Forecast &amp; EOQ'!$B$2:$B$21</c:f>
              <c:strCache>
                <c:ptCount val="20"/>
                <c:pt idx="0">
                  <c:v>Wireless Earbuds</c:v>
                </c:pt>
                <c:pt idx="1">
                  <c:v>USB-C Charging Cable</c:v>
                </c:pt>
                <c:pt idx="2">
                  <c:v>Bluetooth Speaker</c:v>
                </c:pt>
                <c:pt idx="3">
                  <c:v>Phone Stand</c:v>
                </c:pt>
                <c:pt idx="4">
                  <c:v>Non-Stick Frying Pan</c:v>
                </c:pt>
                <c:pt idx="5">
                  <c:v>Ceramic Mug Set</c:v>
                </c:pt>
                <c:pt idx="6">
                  <c:v>Electric Kettle</c:v>
                </c:pt>
                <c:pt idx="7">
                  <c:v>Cutlery Set</c:v>
                </c:pt>
                <c:pt idx="8">
                  <c:v>Cotton T-Shirt</c:v>
                </c:pt>
                <c:pt idx="9">
                  <c:v>Denim Jeans</c:v>
                </c:pt>
                <c:pt idx="10">
                  <c:v>Running Shoes</c:v>
                </c:pt>
                <c:pt idx="11">
                  <c:v>Woolen Scarf</c:v>
                </c:pt>
                <c:pt idx="12">
                  <c:v>Basmati Rice 5kg</c:v>
                </c:pt>
                <c:pt idx="13">
                  <c:v>Cooking Oil 1L</c:v>
                </c:pt>
                <c:pt idx="14">
                  <c:v>Green Tea Pack</c:v>
                </c:pt>
                <c:pt idx="15">
                  <c:v>Breakfast Cereal</c:v>
                </c:pt>
                <c:pt idx="16">
                  <c:v>Face Moisturizer</c:v>
                </c:pt>
                <c:pt idx="17">
                  <c:v>Shampoo 400ml</c:v>
                </c:pt>
                <c:pt idx="18">
                  <c:v>Hand Wash 250ml</c:v>
                </c:pt>
                <c:pt idx="19">
                  <c:v>Lip Balm Pack</c:v>
                </c:pt>
              </c:strCache>
            </c:strRef>
          </c:cat>
          <c:val>
            <c:numRef>
              <c:f>'Forecast &amp; EOQ'!$D$2:$D$21</c:f>
              <c:numCache>
                <c:formatCode>0.00</c:formatCode>
                <c:ptCount val="20"/>
                <c:pt idx="0">
                  <c:v>123.66666666666666</c:v>
                </c:pt>
                <c:pt idx="1">
                  <c:v>96.090909090909093</c:v>
                </c:pt>
                <c:pt idx="2">
                  <c:v>101.59090909090909</c:v>
                </c:pt>
                <c:pt idx="3">
                  <c:v>47.696969696969703</c:v>
                </c:pt>
                <c:pt idx="4">
                  <c:v>58.106060606060609</c:v>
                </c:pt>
                <c:pt idx="5">
                  <c:v>108.46969696969697</c:v>
                </c:pt>
                <c:pt idx="6">
                  <c:v>79.681818181818187</c:v>
                </c:pt>
                <c:pt idx="7">
                  <c:v>69.5</c:v>
                </c:pt>
                <c:pt idx="8">
                  <c:v>139.92424242424244</c:v>
                </c:pt>
                <c:pt idx="9">
                  <c:v>30.166666666666668</c:v>
                </c:pt>
                <c:pt idx="10">
                  <c:v>117.8787878787879</c:v>
                </c:pt>
                <c:pt idx="11">
                  <c:v>111.57575757575756</c:v>
                </c:pt>
                <c:pt idx="12">
                  <c:v>72.848484848484873</c:v>
                </c:pt>
                <c:pt idx="13">
                  <c:v>170.36363636363637</c:v>
                </c:pt>
                <c:pt idx="14">
                  <c:v>93.060606060606048</c:v>
                </c:pt>
                <c:pt idx="15">
                  <c:v>98.863636363636374</c:v>
                </c:pt>
                <c:pt idx="16">
                  <c:v>41.227272727272727</c:v>
                </c:pt>
                <c:pt idx="17">
                  <c:v>171.78787878787881</c:v>
                </c:pt>
                <c:pt idx="18">
                  <c:v>171.45454545454544</c:v>
                </c:pt>
                <c:pt idx="19">
                  <c:v>25.666666666666664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5-4AE5-A344-7DFD1F4F7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103"/>
        <c:axId val="902151"/>
      </c:barChart>
      <c:catAx>
        <c:axId val="90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151"/>
        <c:crosses val="autoZero"/>
        <c:auto val="1"/>
        <c:lblAlgn val="ctr"/>
        <c:lblOffset val="100"/>
        <c:noMultiLvlLbl val="0"/>
      </c:catAx>
      <c:valAx>
        <c:axId val="902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381000</xdr:colOff>
      <xdr:row>11</xdr:row>
      <xdr:rowOff>9525</xdr:rowOff>
    </xdr:from>
    <xdr:to>
      <xdr:col>24</xdr:col>
      <xdr:colOff>419100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260E1-A305-C81E-8C6A-645EBEF8E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123825</xdr:colOff>
      <xdr:row>11</xdr:row>
      <xdr:rowOff>19050</xdr:rowOff>
    </xdr:from>
    <xdr:to>
      <xdr:col>19</xdr:col>
      <xdr:colOff>228600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7F7635-647E-2C06-70D1-CEAB0A79DFC9}"/>
            </a:ext>
            <a:ext uri="{147F2762-F138-4A5C-976F-8EAC2B608ADB}">
              <a16:predDERef xmlns:a16="http://schemas.microsoft.com/office/drawing/2014/main" pred="{BA0260E1-A305-C81E-8C6A-645EBEF8E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95250</xdr:colOff>
      <xdr:row>24</xdr:row>
      <xdr:rowOff>133350</xdr:rowOff>
    </xdr:from>
    <xdr:to>
      <xdr:col>24</xdr:col>
      <xdr:colOff>200025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AE51CF-58AB-44BB-A401-7F0ECCC457B1}"/>
            </a:ext>
            <a:ext uri="{147F2762-F138-4A5C-976F-8EAC2B608ADB}">
              <a16:predDERef xmlns:a16="http://schemas.microsoft.com/office/drawing/2014/main" pred="{267F7635-647E-2C06-70D1-CEAB0A79D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123825</xdr:colOff>
      <xdr:row>10</xdr:row>
      <xdr:rowOff>85725</xdr:rowOff>
    </xdr:from>
    <xdr:to>
      <xdr:col>13</xdr:col>
      <xdr:colOff>590550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C28A64-71FA-4433-85E7-A07B3458B223}"/>
            </a:ext>
            <a:ext uri="{147F2762-F138-4A5C-976F-8EAC2B608ADB}">
              <a16:predDERef xmlns:a16="http://schemas.microsoft.com/office/drawing/2014/main" pred="{39AE51CF-58AB-44BB-A401-7F0ECCC45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A08B-7042-41CA-AB56-084B2B728B0D}">
  <sheetPr>
    <tabColor theme="4" tint="-0.249977111117893"/>
  </sheetPr>
  <dimension ref="A1:Y41"/>
  <sheetViews>
    <sheetView showGridLines="0" tabSelected="1" workbookViewId="0">
      <selection activeCell="F35" sqref="F35"/>
    </sheetView>
  </sheetViews>
  <sheetFormatPr defaultRowHeight="15"/>
  <cols>
    <col min="5" max="5" width="4.5703125" customWidth="1"/>
    <col min="8" max="8" width="8.28515625" customWidth="1"/>
    <col min="9" max="9" width="8.42578125" customWidth="1"/>
    <col min="10" max="10" width="5.85546875" customWidth="1"/>
    <col min="11" max="11" width="12.28515625" customWidth="1"/>
    <col min="12" max="12" width="11.85546875" customWidth="1"/>
    <col min="22" max="22" width="13.5703125" customWidth="1"/>
  </cols>
  <sheetData>
    <row r="1" spans="1:25" s="21" customFormat="1" ht="15" customHeight="1">
      <c r="A1" s="22"/>
      <c r="B1" s="22"/>
      <c r="C1" s="22"/>
      <c r="D1" s="39" t="s">
        <v>0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s="21" customFormat="1" ht="15" customHeight="1">
      <c r="A2" s="38" t="s">
        <v>1</v>
      </c>
      <c r="B2" s="38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s="21" customFormat="1" ht="15" customHeight="1">
      <c r="A3" s="38"/>
      <c r="B3" s="38"/>
      <c r="C3" s="38"/>
      <c r="D3" s="40" t="s">
        <v>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</row>
    <row r="4" spans="1:25">
      <c r="A4" s="23"/>
      <c r="B4" s="23"/>
      <c r="C4" s="23"/>
    </row>
    <row r="5" spans="1:25" ht="18.75">
      <c r="A5" s="44" t="s">
        <v>3</v>
      </c>
      <c r="B5" s="35"/>
      <c r="C5" s="35"/>
      <c r="F5" s="37" t="s">
        <v>4</v>
      </c>
      <c r="G5" s="37"/>
      <c r="H5" s="37"/>
      <c r="K5" s="41" t="s">
        <v>5</v>
      </c>
      <c r="L5" s="41"/>
      <c r="M5" s="41"/>
      <c r="P5" s="41" t="s">
        <v>6</v>
      </c>
      <c r="Q5" s="41"/>
      <c r="R5" s="41"/>
      <c r="U5" s="41" t="s">
        <v>7</v>
      </c>
      <c r="V5" s="41"/>
      <c r="W5" s="41"/>
    </row>
    <row r="6" spans="1:25" ht="15" customHeight="1">
      <c r="A6" s="35"/>
      <c r="B6" s="35"/>
      <c r="C6" s="35"/>
      <c r="F6" s="42">
        <f>COUNTA('Product Master'!A2:A21)</f>
        <v>20</v>
      </c>
      <c r="G6" s="42"/>
      <c r="H6" s="42"/>
      <c r="K6" s="43">
        <f>SUM('Forecast &amp; EOQ'!H2:H21)</f>
        <v>638627.62999999989</v>
      </c>
      <c r="L6" s="43"/>
      <c r="M6" s="43"/>
      <c r="P6" s="42">
        <f>COUNTIF('Forecast &amp; EOQ'!W2:W21,"Yes")</f>
        <v>2</v>
      </c>
      <c r="Q6" s="42"/>
      <c r="R6" s="42"/>
      <c r="U6" s="42">
        <f>COUNTIF('Forecast &amp; EOQ'!U2:U21,"A")</f>
        <v>4</v>
      </c>
      <c r="V6" s="42"/>
      <c r="W6" s="42"/>
    </row>
    <row r="7" spans="1:25" ht="15" customHeight="1">
      <c r="A7" s="23"/>
      <c r="B7" s="23"/>
      <c r="C7" s="23"/>
      <c r="F7" s="42"/>
      <c r="G7" s="42"/>
      <c r="H7" s="42"/>
      <c r="K7" s="43"/>
      <c r="L7" s="43"/>
      <c r="M7" s="43"/>
      <c r="P7" s="42"/>
      <c r="Q7" s="42"/>
      <c r="R7" s="42"/>
      <c r="U7" s="42"/>
      <c r="V7" s="42"/>
      <c r="W7" s="42"/>
    </row>
    <row r="8" spans="1:25" ht="15" customHeight="1">
      <c r="A8" s="36" t="s">
        <v>8</v>
      </c>
      <c r="B8" s="35"/>
      <c r="C8" s="35"/>
    </row>
    <row r="9" spans="1:25">
      <c r="A9" s="35"/>
      <c r="B9" s="35"/>
      <c r="C9" s="35"/>
    </row>
    <row r="10" spans="1:25">
      <c r="A10" s="23"/>
      <c r="B10" s="23"/>
      <c r="C10" s="23"/>
    </row>
    <row r="11" spans="1:25">
      <c r="A11" s="44" t="s">
        <v>9</v>
      </c>
      <c r="B11" s="35"/>
      <c r="C11" s="35"/>
      <c r="F11" s="1"/>
    </row>
    <row r="12" spans="1:25">
      <c r="A12" s="35"/>
      <c r="B12" s="35"/>
      <c r="C12" s="35"/>
    </row>
    <row r="13" spans="1:25">
      <c r="A13" s="23"/>
      <c r="B13" s="23"/>
      <c r="C13" s="23"/>
    </row>
    <row r="14" spans="1:25">
      <c r="A14" s="30"/>
      <c r="B14" s="30"/>
      <c r="C14" s="30"/>
    </row>
    <row r="15" spans="1:25">
      <c r="A15" s="30"/>
      <c r="B15" s="30"/>
      <c r="C15" s="30"/>
    </row>
    <row r="16" spans="1:25">
      <c r="A16" s="31"/>
      <c r="B16" s="31"/>
      <c r="C16" s="31"/>
    </row>
    <row r="17" spans="1:3">
      <c r="A17" s="31"/>
      <c r="B17" s="31"/>
      <c r="C17" s="31"/>
    </row>
    <row r="18" spans="1:3">
      <c r="A18" s="32" t="s">
        <v>10</v>
      </c>
      <c r="B18" s="33"/>
      <c r="C18" s="33"/>
    </row>
    <row r="19" spans="1:3">
      <c r="A19" s="33"/>
      <c r="B19" s="33"/>
      <c r="C19" s="33"/>
    </row>
    <row r="20" spans="1:3">
      <c r="A20" s="31"/>
      <c r="B20" s="31"/>
      <c r="C20" s="31"/>
    </row>
    <row r="21" spans="1:3">
      <c r="A21" s="31"/>
      <c r="B21" s="31"/>
      <c r="C21" s="31"/>
    </row>
    <row r="22" spans="1:3">
      <c r="A22" s="31"/>
      <c r="B22" s="31"/>
      <c r="C22" s="31"/>
    </row>
    <row r="23" spans="1:3">
      <c r="A23" s="34" t="s">
        <v>11</v>
      </c>
      <c r="B23" s="33"/>
      <c r="C23" s="33"/>
    </row>
    <row r="24" spans="1:3">
      <c r="A24" s="33"/>
      <c r="B24" s="33"/>
      <c r="C24" s="33"/>
    </row>
    <row r="25" spans="1:3">
      <c r="A25" s="31"/>
      <c r="B25" s="31"/>
      <c r="C25" s="31"/>
    </row>
    <row r="26" spans="1:3">
      <c r="A26" s="31"/>
      <c r="B26" s="31"/>
      <c r="C26" s="31"/>
    </row>
    <row r="27" spans="1:3">
      <c r="A27" s="31"/>
      <c r="B27" s="31"/>
      <c r="C27" s="31"/>
    </row>
    <row r="28" spans="1:3">
      <c r="A28" s="31"/>
      <c r="B28" s="31"/>
      <c r="C28" s="31"/>
    </row>
    <row r="29" spans="1:3">
      <c r="A29" s="31"/>
      <c r="B29" s="31"/>
      <c r="C29" s="31"/>
    </row>
    <row r="30" spans="1:3">
      <c r="A30" s="31"/>
      <c r="B30" s="31"/>
      <c r="C30" s="31"/>
    </row>
    <row r="31" spans="1:3">
      <c r="A31" s="31"/>
      <c r="B31" s="31"/>
      <c r="C31" s="31"/>
    </row>
    <row r="32" spans="1:3">
      <c r="A32" s="31"/>
      <c r="B32" s="31"/>
      <c r="C32" s="31"/>
    </row>
    <row r="33" spans="1:3">
      <c r="A33" s="31"/>
      <c r="B33" s="31"/>
      <c r="C33" s="31"/>
    </row>
    <row r="34" spans="1:3">
      <c r="A34" s="31"/>
      <c r="B34" s="31"/>
      <c r="C34" s="31"/>
    </row>
    <row r="35" spans="1:3">
      <c r="A35" s="31"/>
      <c r="B35" s="31"/>
      <c r="C35" s="31"/>
    </row>
    <row r="36" spans="1:3">
      <c r="A36" s="31"/>
      <c r="B36" s="31"/>
      <c r="C36" s="31"/>
    </row>
    <row r="37" spans="1:3">
      <c r="A37" s="31"/>
      <c r="B37" s="31"/>
      <c r="C37" s="31"/>
    </row>
    <row r="38" spans="1:3">
      <c r="A38" s="31"/>
      <c r="B38" s="31"/>
      <c r="C38" s="31"/>
    </row>
    <row r="39" spans="1:3">
      <c r="A39" s="31"/>
      <c r="B39" s="31"/>
      <c r="C39" s="31"/>
    </row>
    <row r="40" spans="1:3">
      <c r="A40" s="31"/>
      <c r="B40" s="31"/>
      <c r="C40" s="31"/>
    </row>
    <row r="41" spans="1:3">
      <c r="A41" s="31"/>
      <c r="B41" s="31"/>
      <c r="C41" s="31"/>
    </row>
  </sheetData>
  <mergeCells count="16">
    <mergeCell ref="F6:H7"/>
    <mergeCell ref="U5:W5"/>
    <mergeCell ref="U6:W7"/>
    <mergeCell ref="P6:R7"/>
    <mergeCell ref="K6:M7"/>
    <mergeCell ref="F5:H5"/>
    <mergeCell ref="A2:C3"/>
    <mergeCell ref="D1:Y2"/>
    <mergeCell ref="D3:Y3"/>
    <mergeCell ref="P5:R5"/>
    <mergeCell ref="K5:M5"/>
    <mergeCell ref="A18:C19"/>
    <mergeCell ref="A23:C24"/>
    <mergeCell ref="A5:C6"/>
    <mergeCell ref="A8:C9"/>
    <mergeCell ref="A11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Q21"/>
  <sheetViews>
    <sheetView workbookViewId="0">
      <selection activeCell="D27" sqref="D27"/>
    </sheetView>
  </sheetViews>
  <sheetFormatPr defaultRowHeight="15"/>
  <cols>
    <col min="1" max="1" width="9.7109375" customWidth="1"/>
    <col min="2" max="2" width="18.7109375" customWidth="1"/>
    <col min="3" max="3" width="19.140625" customWidth="1"/>
    <col min="16" max="16" width="13.140625" customWidth="1"/>
    <col min="17" max="17" width="20.7109375" customWidth="1"/>
  </cols>
  <sheetData>
    <row r="1" spans="1:17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>
      <c r="A2" s="4" t="s">
        <v>29</v>
      </c>
      <c r="B2" s="4" t="s">
        <v>30</v>
      </c>
      <c r="C2" s="4" t="s">
        <v>31</v>
      </c>
      <c r="D2" s="4">
        <v>133</v>
      </c>
      <c r="E2" s="4">
        <v>155</v>
      </c>
      <c r="F2" s="4">
        <v>171</v>
      </c>
      <c r="G2" s="4">
        <v>155</v>
      </c>
      <c r="H2" s="4">
        <v>140</v>
      </c>
      <c r="I2" s="4">
        <v>134</v>
      </c>
      <c r="J2" s="4">
        <v>136</v>
      </c>
      <c r="K2" s="4">
        <v>119</v>
      </c>
      <c r="L2" s="4">
        <v>131</v>
      </c>
      <c r="M2" s="4">
        <v>114</v>
      </c>
      <c r="N2" s="4">
        <v>129</v>
      </c>
      <c r="O2" s="4">
        <v>147</v>
      </c>
      <c r="P2" s="4">
        <f>SUM(D2:O2)</f>
        <v>1664</v>
      </c>
      <c r="Q2" s="5">
        <f>P2/12</f>
        <v>138.66666666666666</v>
      </c>
    </row>
    <row r="3" spans="1:17">
      <c r="A3" s="4" t="s">
        <v>32</v>
      </c>
      <c r="B3" s="4" t="s">
        <v>33</v>
      </c>
      <c r="C3" s="4" t="s">
        <v>34</v>
      </c>
      <c r="D3" s="4">
        <v>109</v>
      </c>
      <c r="E3" s="4">
        <v>106</v>
      </c>
      <c r="F3" s="4">
        <v>102</v>
      </c>
      <c r="G3" s="4">
        <v>78</v>
      </c>
      <c r="H3" s="4">
        <v>73</v>
      </c>
      <c r="I3" s="4">
        <v>69</v>
      </c>
      <c r="J3" s="4">
        <v>63</v>
      </c>
      <c r="K3" s="4">
        <v>69</v>
      </c>
      <c r="L3" s="4">
        <v>93</v>
      </c>
      <c r="M3" s="4">
        <v>106</v>
      </c>
      <c r="N3" s="4">
        <v>108</v>
      </c>
      <c r="O3" s="4">
        <v>119</v>
      </c>
      <c r="P3" s="4">
        <f t="shared" ref="P3:P21" si="0">SUM(D3:O3)</f>
        <v>1095</v>
      </c>
      <c r="Q3" s="5">
        <f t="shared" ref="Q3:Q21" si="1">P3/12</f>
        <v>91.25</v>
      </c>
    </row>
    <row r="4" spans="1:17">
      <c r="A4" s="4" t="s">
        <v>35</v>
      </c>
      <c r="B4" s="4" t="s">
        <v>36</v>
      </c>
      <c r="C4" s="4" t="s">
        <v>37</v>
      </c>
      <c r="D4" s="4">
        <v>72</v>
      </c>
      <c r="E4" s="4">
        <v>45</v>
      </c>
      <c r="F4" s="4">
        <v>47</v>
      </c>
      <c r="G4" s="4">
        <v>53</v>
      </c>
      <c r="H4" s="4">
        <v>50</v>
      </c>
      <c r="I4" s="4">
        <v>62</v>
      </c>
      <c r="J4" s="4">
        <v>76</v>
      </c>
      <c r="K4" s="4">
        <v>93</v>
      </c>
      <c r="L4" s="4">
        <v>92</v>
      </c>
      <c r="M4" s="4">
        <v>95</v>
      </c>
      <c r="N4" s="4">
        <v>94</v>
      </c>
      <c r="O4" s="4">
        <v>88</v>
      </c>
      <c r="P4" s="4">
        <f t="shared" si="0"/>
        <v>867</v>
      </c>
      <c r="Q4" s="5">
        <f t="shared" si="1"/>
        <v>72.25</v>
      </c>
    </row>
    <row r="5" spans="1:17">
      <c r="A5" s="4" t="s">
        <v>38</v>
      </c>
      <c r="B5" s="4" t="s">
        <v>39</v>
      </c>
      <c r="C5" s="4" t="s">
        <v>40</v>
      </c>
      <c r="D5" s="4">
        <v>28</v>
      </c>
      <c r="E5" s="4">
        <v>34</v>
      </c>
      <c r="F5" s="4">
        <v>46</v>
      </c>
      <c r="G5" s="4">
        <v>51</v>
      </c>
      <c r="H5" s="4">
        <v>51</v>
      </c>
      <c r="I5" s="4">
        <v>53</v>
      </c>
      <c r="J5" s="4">
        <v>52</v>
      </c>
      <c r="K5" s="4">
        <v>51</v>
      </c>
      <c r="L5" s="4">
        <v>48</v>
      </c>
      <c r="M5" s="4">
        <v>40</v>
      </c>
      <c r="N5" s="4">
        <v>41</v>
      </c>
      <c r="O5" s="4">
        <v>40</v>
      </c>
      <c r="P5" s="4">
        <f t="shared" si="0"/>
        <v>535</v>
      </c>
      <c r="Q5" s="5">
        <f t="shared" si="1"/>
        <v>44.583333333333336</v>
      </c>
    </row>
    <row r="6" spans="1:17">
      <c r="A6" s="4" t="s">
        <v>41</v>
      </c>
      <c r="B6" s="4" t="s">
        <v>42</v>
      </c>
      <c r="C6" s="4" t="s">
        <v>43</v>
      </c>
      <c r="D6" s="4">
        <v>54</v>
      </c>
      <c r="E6" s="4">
        <v>61</v>
      </c>
      <c r="F6" s="4">
        <v>61</v>
      </c>
      <c r="G6" s="4">
        <v>52</v>
      </c>
      <c r="H6" s="4">
        <v>44</v>
      </c>
      <c r="I6" s="4">
        <v>38</v>
      </c>
      <c r="J6" s="4">
        <v>43</v>
      </c>
      <c r="K6" s="4">
        <v>44</v>
      </c>
      <c r="L6" s="4">
        <v>46</v>
      </c>
      <c r="M6" s="4">
        <v>58</v>
      </c>
      <c r="N6" s="4">
        <v>65</v>
      </c>
      <c r="O6" s="4">
        <v>74</v>
      </c>
      <c r="P6" s="4">
        <f t="shared" si="0"/>
        <v>640</v>
      </c>
      <c r="Q6" s="5">
        <f t="shared" si="1"/>
        <v>53.333333333333336</v>
      </c>
    </row>
    <row r="7" spans="1:17">
      <c r="A7" s="4" t="s">
        <v>44</v>
      </c>
      <c r="B7" s="4" t="s">
        <v>45</v>
      </c>
      <c r="C7" s="4" t="s">
        <v>31</v>
      </c>
      <c r="D7" s="4">
        <v>91</v>
      </c>
      <c r="E7" s="4">
        <v>78</v>
      </c>
      <c r="F7" s="4">
        <v>82</v>
      </c>
      <c r="G7" s="4">
        <v>72</v>
      </c>
      <c r="H7" s="4">
        <v>56</v>
      </c>
      <c r="I7" s="4">
        <v>60</v>
      </c>
      <c r="J7" s="4">
        <v>69</v>
      </c>
      <c r="K7" s="4">
        <v>66</v>
      </c>
      <c r="L7" s="4">
        <v>78</v>
      </c>
      <c r="M7" s="4">
        <v>104</v>
      </c>
      <c r="N7" s="4">
        <v>115</v>
      </c>
      <c r="O7" s="4">
        <v>138</v>
      </c>
      <c r="P7" s="4">
        <f t="shared" si="0"/>
        <v>1009</v>
      </c>
      <c r="Q7" s="5">
        <f t="shared" si="1"/>
        <v>84.083333333333329</v>
      </c>
    </row>
    <row r="8" spans="1:17">
      <c r="A8" s="4" t="s">
        <v>46</v>
      </c>
      <c r="B8" s="4" t="s">
        <v>47</v>
      </c>
      <c r="C8" s="4" t="s">
        <v>34</v>
      </c>
      <c r="D8" s="4">
        <v>107</v>
      </c>
      <c r="E8" s="4">
        <v>112</v>
      </c>
      <c r="F8" s="4">
        <v>106</v>
      </c>
      <c r="G8" s="4">
        <v>120</v>
      </c>
      <c r="H8" s="4">
        <v>136</v>
      </c>
      <c r="I8" s="4">
        <v>126</v>
      </c>
      <c r="J8" s="4">
        <v>101</v>
      </c>
      <c r="K8" s="4">
        <v>95</v>
      </c>
      <c r="L8" s="4">
        <v>102</v>
      </c>
      <c r="M8" s="4">
        <v>74</v>
      </c>
      <c r="N8" s="4">
        <v>75</v>
      </c>
      <c r="O8" s="4">
        <v>85</v>
      </c>
      <c r="P8" s="4">
        <f t="shared" si="0"/>
        <v>1239</v>
      </c>
      <c r="Q8" s="5">
        <f t="shared" si="1"/>
        <v>103.25</v>
      </c>
    </row>
    <row r="9" spans="1:17">
      <c r="A9" s="4" t="s">
        <v>48</v>
      </c>
      <c r="B9" s="4" t="s">
        <v>49</v>
      </c>
      <c r="C9" s="4" t="s">
        <v>37</v>
      </c>
      <c r="D9" s="4">
        <v>54</v>
      </c>
      <c r="E9" s="4">
        <v>54</v>
      </c>
      <c r="F9" s="4">
        <v>74</v>
      </c>
      <c r="G9" s="4">
        <v>79</v>
      </c>
      <c r="H9" s="4">
        <v>81</v>
      </c>
      <c r="I9" s="4">
        <v>78</v>
      </c>
      <c r="J9" s="4">
        <v>73</v>
      </c>
      <c r="K9" s="4">
        <v>66</v>
      </c>
      <c r="L9" s="4">
        <v>55</v>
      </c>
      <c r="M9" s="4">
        <v>62</v>
      </c>
      <c r="N9" s="4">
        <v>70</v>
      </c>
      <c r="O9" s="4">
        <v>70</v>
      </c>
      <c r="P9" s="4">
        <f t="shared" si="0"/>
        <v>816</v>
      </c>
      <c r="Q9" s="5">
        <f t="shared" si="1"/>
        <v>68</v>
      </c>
    </row>
    <row r="10" spans="1:17">
      <c r="A10" s="4" t="s">
        <v>50</v>
      </c>
      <c r="B10" s="4" t="s">
        <v>51</v>
      </c>
      <c r="C10" s="4" t="s">
        <v>40</v>
      </c>
      <c r="D10" s="4">
        <v>107</v>
      </c>
      <c r="E10" s="4">
        <v>110</v>
      </c>
      <c r="F10" s="4">
        <v>109</v>
      </c>
      <c r="G10" s="4">
        <v>114</v>
      </c>
      <c r="H10" s="4">
        <v>142</v>
      </c>
      <c r="I10" s="4">
        <v>166</v>
      </c>
      <c r="J10" s="4">
        <v>145</v>
      </c>
      <c r="K10" s="4">
        <v>135</v>
      </c>
      <c r="L10" s="4">
        <v>157</v>
      </c>
      <c r="M10" s="4">
        <v>124</v>
      </c>
      <c r="N10" s="4">
        <v>115</v>
      </c>
      <c r="O10" s="4">
        <v>122</v>
      </c>
      <c r="P10" s="4">
        <f t="shared" si="0"/>
        <v>1546</v>
      </c>
      <c r="Q10" s="5">
        <f t="shared" si="1"/>
        <v>128.83333333333334</v>
      </c>
    </row>
    <row r="11" spans="1:17">
      <c r="A11" s="4" t="s">
        <v>52</v>
      </c>
      <c r="B11" s="4" t="s">
        <v>53</v>
      </c>
      <c r="C11" s="4" t="s">
        <v>43</v>
      </c>
      <c r="D11" s="4">
        <v>27</v>
      </c>
      <c r="E11" s="4">
        <v>28</v>
      </c>
      <c r="F11" s="4">
        <v>35</v>
      </c>
      <c r="G11" s="4">
        <v>31</v>
      </c>
      <c r="H11" s="4">
        <v>31</v>
      </c>
      <c r="I11" s="4">
        <v>33</v>
      </c>
      <c r="J11" s="4">
        <v>32</v>
      </c>
      <c r="K11" s="4">
        <v>33</v>
      </c>
      <c r="L11" s="4">
        <v>26</v>
      </c>
      <c r="M11" s="4">
        <v>30</v>
      </c>
      <c r="N11" s="4">
        <v>28</v>
      </c>
      <c r="O11" s="4">
        <v>31</v>
      </c>
      <c r="P11" s="4">
        <f t="shared" si="0"/>
        <v>365</v>
      </c>
      <c r="Q11" s="5">
        <f t="shared" si="1"/>
        <v>30.416666666666668</v>
      </c>
    </row>
    <row r="12" spans="1:17">
      <c r="A12" s="4" t="s">
        <v>54</v>
      </c>
      <c r="B12" s="4" t="s">
        <v>55</v>
      </c>
      <c r="C12" s="4" t="s">
        <v>31</v>
      </c>
      <c r="D12" s="4">
        <v>207</v>
      </c>
      <c r="E12" s="4">
        <v>182</v>
      </c>
      <c r="F12" s="4">
        <v>180</v>
      </c>
      <c r="G12" s="4">
        <v>157</v>
      </c>
      <c r="H12" s="4">
        <v>158</v>
      </c>
      <c r="I12" s="4">
        <v>114</v>
      </c>
      <c r="J12" s="4">
        <v>98</v>
      </c>
      <c r="K12" s="4">
        <v>98</v>
      </c>
      <c r="L12" s="4">
        <v>114</v>
      </c>
      <c r="M12" s="4">
        <v>126</v>
      </c>
      <c r="N12" s="4">
        <v>155</v>
      </c>
      <c r="O12" s="4">
        <v>182</v>
      </c>
      <c r="P12" s="4">
        <f t="shared" si="0"/>
        <v>1771</v>
      </c>
      <c r="Q12" s="5">
        <f t="shared" si="1"/>
        <v>147.58333333333334</v>
      </c>
    </row>
    <row r="13" spans="1:17">
      <c r="A13" s="4" t="s">
        <v>56</v>
      </c>
      <c r="B13" s="4" t="s">
        <v>57</v>
      </c>
      <c r="C13" s="4" t="s">
        <v>34</v>
      </c>
      <c r="D13" s="4">
        <v>154</v>
      </c>
      <c r="E13" s="4">
        <v>184</v>
      </c>
      <c r="F13" s="4">
        <v>153</v>
      </c>
      <c r="G13" s="4">
        <v>180</v>
      </c>
      <c r="H13" s="4">
        <v>138</v>
      </c>
      <c r="I13" s="4">
        <v>143</v>
      </c>
      <c r="J13" s="4">
        <v>126</v>
      </c>
      <c r="K13" s="4">
        <v>113</v>
      </c>
      <c r="L13" s="4">
        <v>128</v>
      </c>
      <c r="M13" s="4">
        <v>132</v>
      </c>
      <c r="N13" s="4">
        <v>129</v>
      </c>
      <c r="O13" s="4">
        <v>123</v>
      </c>
      <c r="P13" s="4">
        <f t="shared" si="0"/>
        <v>1703</v>
      </c>
      <c r="Q13" s="5">
        <f t="shared" si="1"/>
        <v>141.91666666666666</v>
      </c>
    </row>
    <row r="14" spans="1:17">
      <c r="A14" s="4" t="s">
        <v>58</v>
      </c>
      <c r="B14" s="4" t="s">
        <v>59</v>
      </c>
      <c r="C14" s="4" t="s">
        <v>37</v>
      </c>
      <c r="D14" s="4">
        <v>81</v>
      </c>
      <c r="E14" s="4">
        <v>103</v>
      </c>
      <c r="F14" s="4">
        <v>130</v>
      </c>
      <c r="G14" s="4">
        <v>131</v>
      </c>
      <c r="H14" s="4">
        <v>139</v>
      </c>
      <c r="I14" s="4">
        <v>133</v>
      </c>
      <c r="J14" s="4">
        <v>130</v>
      </c>
      <c r="K14" s="4">
        <v>107</v>
      </c>
      <c r="L14" s="4">
        <v>89</v>
      </c>
      <c r="M14" s="4">
        <v>81</v>
      </c>
      <c r="N14" s="4">
        <v>59</v>
      </c>
      <c r="O14" s="4">
        <v>55</v>
      </c>
      <c r="P14" s="4">
        <f t="shared" si="0"/>
        <v>1238</v>
      </c>
      <c r="Q14" s="5">
        <f t="shared" si="1"/>
        <v>103.16666666666667</v>
      </c>
    </row>
    <row r="15" spans="1:17">
      <c r="A15" s="4" t="s">
        <v>60</v>
      </c>
      <c r="B15" s="4" t="s">
        <v>61</v>
      </c>
      <c r="C15" s="4" t="s">
        <v>40</v>
      </c>
      <c r="D15" s="4">
        <v>88</v>
      </c>
      <c r="E15" s="4">
        <v>81</v>
      </c>
      <c r="F15" s="4">
        <v>89</v>
      </c>
      <c r="G15" s="4">
        <v>95</v>
      </c>
      <c r="H15" s="4">
        <v>129</v>
      </c>
      <c r="I15" s="4">
        <v>145</v>
      </c>
      <c r="J15" s="4">
        <v>179</v>
      </c>
      <c r="K15" s="4">
        <v>161</v>
      </c>
      <c r="L15" s="4">
        <v>188</v>
      </c>
      <c r="M15" s="4">
        <v>151</v>
      </c>
      <c r="N15" s="4">
        <v>131</v>
      </c>
      <c r="O15" s="4">
        <v>117</v>
      </c>
      <c r="P15" s="4">
        <f t="shared" si="0"/>
        <v>1554</v>
      </c>
      <c r="Q15" s="5">
        <f t="shared" si="1"/>
        <v>129.5</v>
      </c>
    </row>
    <row r="16" spans="1:17">
      <c r="A16" s="4" t="s">
        <v>62</v>
      </c>
      <c r="B16" s="4" t="s">
        <v>63</v>
      </c>
      <c r="C16" s="4" t="s">
        <v>43</v>
      </c>
      <c r="D16" s="4">
        <v>78</v>
      </c>
      <c r="E16" s="4">
        <v>85</v>
      </c>
      <c r="F16" s="4">
        <v>98</v>
      </c>
      <c r="G16" s="4">
        <v>107</v>
      </c>
      <c r="H16" s="4">
        <v>118</v>
      </c>
      <c r="I16" s="4">
        <v>92</v>
      </c>
      <c r="J16" s="4">
        <v>111</v>
      </c>
      <c r="K16" s="4">
        <v>97</v>
      </c>
      <c r="L16" s="4">
        <v>85</v>
      </c>
      <c r="M16" s="4">
        <v>81</v>
      </c>
      <c r="N16" s="4">
        <v>92</v>
      </c>
      <c r="O16" s="4">
        <v>91</v>
      </c>
      <c r="P16" s="4">
        <f t="shared" si="0"/>
        <v>1135</v>
      </c>
      <c r="Q16" s="5">
        <f t="shared" si="1"/>
        <v>94.583333333333329</v>
      </c>
    </row>
    <row r="17" spans="1:17">
      <c r="A17" s="4" t="s">
        <v>64</v>
      </c>
      <c r="B17" s="4" t="s">
        <v>65</v>
      </c>
      <c r="C17" s="4" t="s">
        <v>31</v>
      </c>
      <c r="D17" s="4">
        <v>63</v>
      </c>
      <c r="E17" s="4">
        <v>60</v>
      </c>
      <c r="F17" s="4">
        <v>76</v>
      </c>
      <c r="G17" s="4">
        <v>114</v>
      </c>
      <c r="H17" s="4">
        <v>91</v>
      </c>
      <c r="I17" s="4">
        <v>106</v>
      </c>
      <c r="J17" s="4">
        <v>118</v>
      </c>
      <c r="K17" s="4">
        <v>112</v>
      </c>
      <c r="L17" s="4">
        <v>102</v>
      </c>
      <c r="M17" s="4">
        <v>106</v>
      </c>
      <c r="N17" s="4">
        <v>71</v>
      </c>
      <c r="O17" s="4">
        <v>67</v>
      </c>
      <c r="P17" s="4">
        <f t="shared" si="0"/>
        <v>1086</v>
      </c>
      <c r="Q17" s="5">
        <f t="shared" si="1"/>
        <v>90.5</v>
      </c>
    </row>
    <row r="18" spans="1:17">
      <c r="A18" s="4" t="s">
        <v>66</v>
      </c>
      <c r="B18" s="4" t="s">
        <v>67</v>
      </c>
      <c r="C18" s="4" t="s">
        <v>34</v>
      </c>
      <c r="D18" s="4">
        <v>44</v>
      </c>
      <c r="E18" s="4">
        <v>41</v>
      </c>
      <c r="F18" s="4">
        <v>40</v>
      </c>
      <c r="G18" s="4">
        <v>38</v>
      </c>
      <c r="H18" s="4">
        <v>34</v>
      </c>
      <c r="I18" s="4">
        <v>35</v>
      </c>
      <c r="J18" s="4">
        <v>30</v>
      </c>
      <c r="K18" s="4">
        <v>30</v>
      </c>
      <c r="L18" s="4">
        <v>32</v>
      </c>
      <c r="M18" s="4">
        <v>41</v>
      </c>
      <c r="N18" s="4">
        <v>49</v>
      </c>
      <c r="O18" s="4">
        <v>51</v>
      </c>
      <c r="P18" s="4">
        <f t="shared" si="0"/>
        <v>465</v>
      </c>
      <c r="Q18" s="5">
        <f t="shared" si="1"/>
        <v>38.75</v>
      </c>
    </row>
    <row r="19" spans="1:17">
      <c r="A19" s="4" t="s">
        <v>68</v>
      </c>
      <c r="B19" s="4" t="s">
        <v>69</v>
      </c>
      <c r="C19" s="4" t="s">
        <v>37</v>
      </c>
      <c r="D19" s="4">
        <v>125</v>
      </c>
      <c r="E19" s="4">
        <v>85</v>
      </c>
      <c r="F19" s="4">
        <v>65</v>
      </c>
      <c r="G19" s="4">
        <v>93</v>
      </c>
      <c r="H19" s="4">
        <v>102</v>
      </c>
      <c r="I19" s="4">
        <v>144</v>
      </c>
      <c r="J19" s="4">
        <v>148</v>
      </c>
      <c r="K19" s="4">
        <v>150</v>
      </c>
      <c r="L19" s="4">
        <v>169</v>
      </c>
      <c r="M19" s="4">
        <v>151</v>
      </c>
      <c r="N19" s="4">
        <v>167</v>
      </c>
      <c r="O19" s="4">
        <v>132</v>
      </c>
      <c r="P19" s="4">
        <f t="shared" si="0"/>
        <v>1531</v>
      </c>
      <c r="Q19" s="5">
        <f t="shared" si="1"/>
        <v>127.58333333333333</v>
      </c>
    </row>
    <row r="20" spans="1:17">
      <c r="A20" s="4" t="s">
        <v>70</v>
      </c>
      <c r="B20" s="4" t="s">
        <v>71</v>
      </c>
      <c r="C20" s="4" t="s">
        <v>40</v>
      </c>
      <c r="D20" s="4">
        <v>83</v>
      </c>
      <c r="E20" s="4">
        <v>74</v>
      </c>
      <c r="F20" s="4">
        <v>88</v>
      </c>
      <c r="G20" s="4">
        <v>112</v>
      </c>
      <c r="H20" s="4">
        <v>107</v>
      </c>
      <c r="I20" s="4">
        <v>161</v>
      </c>
      <c r="J20" s="4">
        <v>146</v>
      </c>
      <c r="K20" s="4">
        <v>175</v>
      </c>
      <c r="L20" s="4">
        <v>164</v>
      </c>
      <c r="M20" s="4">
        <v>157</v>
      </c>
      <c r="N20" s="4">
        <v>134</v>
      </c>
      <c r="O20" s="4">
        <v>126</v>
      </c>
      <c r="P20" s="4">
        <f t="shared" si="0"/>
        <v>1527</v>
      </c>
      <c r="Q20" s="5">
        <f t="shared" si="1"/>
        <v>127.25</v>
      </c>
    </row>
    <row r="21" spans="1:17">
      <c r="A21" s="4" t="s">
        <v>72</v>
      </c>
      <c r="B21" s="4" t="s">
        <v>73</v>
      </c>
      <c r="C21" s="4" t="s">
        <v>43</v>
      </c>
      <c r="D21" s="4">
        <v>38</v>
      </c>
      <c r="E21" s="4">
        <v>50</v>
      </c>
      <c r="F21" s="4">
        <v>48</v>
      </c>
      <c r="G21" s="4">
        <v>48</v>
      </c>
      <c r="H21" s="4">
        <v>43</v>
      </c>
      <c r="I21" s="4">
        <v>42</v>
      </c>
      <c r="J21" s="4">
        <v>35</v>
      </c>
      <c r="K21" s="4">
        <v>33</v>
      </c>
      <c r="L21" s="4">
        <v>27</v>
      </c>
      <c r="M21" s="4">
        <v>35</v>
      </c>
      <c r="N21" s="4">
        <v>27</v>
      </c>
      <c r="O21" s="4">
        <v>29</v>
      </c>
      <c r="P21" s="4">
        <f t="shared" si="0"/>
        <v>455</v>
      </c>
      <c r="Q21" s="5">
        <f t="shared" si="1"/>
        <v>37.916666666666664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3E69-21E4-4CA4-91C9-BD1B2FCF2213}">
  <sheetPr>
    <tabColor theme="8" tint="0.59999389629810485"/>
  </sheetPr>
  <dimension ref="A1:J21"/>
  <sheetViews>
    <sheetView workbookViewId="0">
      <selection activeCell="D25" sqref="D25"/>
    </sheetView>
  </sheetViews>
  <sheetFormatPr defaultRowHeight="15"/>
  <cols>
    <col min="1" max="1" width="12.28515625" customWidth="1"/>
    <col min="2" max="2" width="20.5703125" customWidth="1"/>
    <col min="3" max="3" width="28.7109375" customWidth="1"/>
    <col min="4" max="4" width="19.28515625" customWidth="1"/>
    <col min="5" max="5" width="18.140625" customWidth="1"/>
    <col min="6" max="6" width="19" customWidth="1"/>
    <col min="7" max="7" width="17.85546875" customWidth="1"/>
    <col min="8" max="8" width="14" customWidth="1"/>
    <col min="9" max="9" width="18.7109375" customWidth="1"/>
    <col min="10" max="10" width="21.85546875" customWidth="1"/>
  </cols>
  <sheetData>
    <row r="1" spans="1:10">
      <c r="A1" s="16" t="s">
        <v>12</v>
      </c>
      <c r="B1" s="16" t="s">
        <v>13</v>
      </c>
      <c r="C1" s="16" t="s">
        <v>14</v>
      </c>
      <c r="D1" s="16" t="s">
        <v>74</v>
      </c>
      <c r="E1" s="16" t="s">
        <v>75</v>
      </c>
      <c r="F1" s="16" t="s">
        <v>76</v>
      </c>
      <c r="G1" s="16" t="s">
        <v>77</v>
      </c>
      <c r="H1" s="16" t="s">
        <v>78</v>
      </c>
      <c r="I1" s="16" t="s">
        <v>79</v>
      </c>
      <c r="J1" s="16" t="s">
        <v>80</v>
      </c>
    </row>
    <row r="2" spans="1:10">
      <c r="A2" s="6" t="str">
        <f>'Sales History'!A2</f>
        <v>P1000</v>
      </c>
      <c r="B2" s="6" t="str">
        <f>'Sales History'!B2</f>
        <v>Wireless Earbuds</v>
      </c>
      <c r="C2" s="6" t="str">
        <f>'Sales History'!C2</f>
        <v>Electronics Accessories</v>
      </c>
      <c r="D2" s="3" t="s">
        <v>81</v>
      </c>
      <c r="E2" s="17">
        <v>24.35</v>
      </c>
      <c r="F2" s="15">
        <v>45.06</v>
      </c>
      <c r="G2" s="18">
        <v>278</v>
      </c>
      <c r="H2" s="18">
        <v>14</v>
      </c>
      <c r="I2" s="15">
        <v>28.21</v>
      </c>
      <c r="J2" s="19">
        <v>0.26</v>
      </c>
    </row>
    <row r="3" spans="1:10">
      <c r="A3" s="6" t="str">
        <f>'Sales History'!A3</f>
        <v>P1001</v>
      </c>
      <c r="B3" s="6" t="str">
        <f>'Sales History'!B3</f>
        <v>USB-C Charging Cable</v>
      </c>
      <c r="C3" s="6" t="str">
        <f>'Sales History'!C3</f>
        <v>Home &amp; Kitchen</v>
      </c>
      <c r="D3" s="3" t="s">
        <v>82</v>
      </c>
      <c r="E3" s="17">
        <v>57.19</v>
      </c>
      <c r="F3" s="15">
        <v>81.53</v>
      </c>
      <c r="G3" s="18">
        <v>49</v>
      </c>
      <c r="H3" s="18">
        <v>5</v>
      </c>
      <c r="I3" s="15">
        <v>15.63</v>
      </c>
      <c r="J3" s="19">
        <v>0.24</v>
      </c>
    </row>
    <row r="4" spans="1:10">
      <c r="A4" s="6" t="str">
        <f>'Sales History'!A4</f>
        <v>P1002</v>
      </c>
      <c r="B4" s="6" t="str">
        <f>'Sales History'!B4</f>
        <v>Bluetooth Speaker</v>
      </c>
      <c r="C4" s="6" t="str">
        <f>'Sales History'!C4</f>
        <v>Apparel</v>
      </c>
      <c r="D4" s="3" t="s">
        <v>83</v>
      </c>
      <c r="E4" s="17">
        <v>44.72</v>
      </c>
      <c r="F4" s="15">
        <v>69.89</v>
      </c>
      <c r="G4" s="18">
        <v>220</v>
      </c>
      <c r="H4" s="18">
        <v>21</v>
      </c>
      <c r="I4" s="15">
        <v>23.95</v>
      </c>
      <c r="J4" s="19">
        <v>0.16</v>
      </c>
    </row>
    <row r="5" spans="1:10">
      <c r="A5" s="6" t="str">
        <f>'Sales History'!A5</f>
        <v>P1003</v>
      </c>
      <c r="B5" s="6" t="str">
        <f>'Sales History'!B5</f>
        <v>Phone Stand</v>
      </c>
      <c r="C5" s="6" t="str">
        <f>'Sales History'!C5</f>
        <v>Grocery</v>
      </c>
      <c r="D5" s="3" t="s">
        <v>84</v>
      </c>
      <c r="E5" s="17">
        <v>37.119999999999997</v>
      </c>
      <c r="F5" s="15">
        <v>60.5</v>
      </c>
      <c r="G5" s="18">
        <v>95</v>
      </c>
      <c r="H5" s="18">
        <v>21</v>
      </c>
      <c r="I5" s="15">
        <v>47.01</v>
      </c>
      <c r="J5" s="19">
        <v>0.16</v>
      </c>
    </row>
    <row r="6" spans="1:10">
      <c r="A6" s="6" t="str">
        <f>'Sales History'!A6</f>
        <v>P1004</v>
      </c>
      <c r="B6" s="6" t="str">
        <f>'Sales History'!B6</f>
        <v>Non-Stick Frying Pan</v>
      </c>
      <c r="C6" s="6" t="str">
        <f>'Sales History'!C6</f>
        <v>Beauty &amp; Personal Care</v>
      </c>
      <c r="D6" s="3" t="s">
        <v>85</v>
      </c>
      <c r="E6" s="17">
        <v>11.89</v>
      </c>
      <c r="F6" s="15">
        <v>20.34</v>
      </c>
      <c r="G6" s="18">
        <v>64</v>
      </c>
      <c r="H6" s="18">
        <v>7</v>
      </c>
      <c r="I6" s="15">
        <v>50.56</v>
      </c>
      <c r="J6" s="19">
        <v>0.13</v>
      </c>
    </row>
    <row r="7" spans="1:10">
      <c r="A7" s="6" t="str">
        <f>'Sales History'!A7</f>
        <v>P1005</v>
      </c>
      <c r="B7" s="6" t="str">
        <f>'Sales History'!B7</f>
        <v>Ceramic Mug Set</v>
      </c>
      <c r="C7" s="6" t="str">
        <f>'Sales History'!C7</f>
        <v>Electronics Accessories</v>
      </c>
      <c r="D7" s="3" t="s">
        <v>81</v>
      </c>
      <c r="E7" s="17">
        <v>11.89</v>
      </c>
      <c r="F7" s="15">
        <v>23.86</v>
      </c>
      <c r="G7" s="18">
        <v>374</v>
      </c>
      <c r="H7" s="18">
        <v>21</v>
      </c>
      <c r="I7" s="15">
        <v>42.27</v>
      </c>
      <c r="J7" s="19">
        <v>0.23</v>
      </c>
    </row>
    <row r="8" spans="1:10">
      <c r="A8" s="6" t="str">
        <f>'Sales History'!A8</f>
        <v>P1006</v>
      </c>
      <c r="B8" s="6" t="str">
        <f>'Sales History'!B8</f>
        <v>Electric Kettle</v>
      </c>
      <c r="C8" s="6" t="str">
        <f>'Sales History'!C8</f>
        <v>Home &amp; Kitchen</v>
      </c>
      <c r="D8" s="3" t="s">
        <v>82</v>
      </c>
      <c r="E8" s="17">
        <v>6.31</v>
      </c>
      <c r="F8" s="15">
        <v>9.34</v>
      </c>
      <c r="G8" s="18">
        <v>16</v>
      </c>
      <c r="H8" s="18">
        <v>7</v>
      </c>
      <c r="I8" s="15">
        <v>56.68</v>
      </c>
      <c r="J8" s="19">
        <v>0.14000000000000001</v>
      </c>
    </row>
    <row r="9" spans="1:10">
      <c r="A9" s="6" t="str">
        <f>'Sales History'!A9</f>
        <v>P1007</v>
      </c>
      <c r="B9" s="6" t="str">
        <f>'Sales History'!B9</f>
        <v>Cutlery Set</v>
      </c>
      <c r="C9" s="6" t="str">
        <f>'Sales History'!C9</f>
        <v>Apparel</v>
      </c>
      <c r="D9" s="3" t="s">
        <v>83</v>
      </c>
      <c r="E9" s="17">
        <v>52.37</v>
      </c>
      <c r="F9" s="15">
        <v>92.32</v>
      </c>
      <c r="G9" s="18">
        <v>68</v>
      </c>
      <c r="H9" s="18">
        <v>5</v>
      </c>
      <c r="I9" s="15">
        <v>44.3</v>
      </c>
      <c r="J9" s="19">
        <v>0.19</v>
      </c>
    </row>
    <row r="10" spans="1:10">
      <c r="A10" s="6" t="str">
        <f>'Sales History'!A10</f>
        <v>P1008</v>
      </c>
      <c r="B10" s="6" t="str">
        <f>'Sales History'!B10</f>
        <v>Cotton T-Shirt</v>
      </c>
      <c r="C10" s="6" t="str">
        <f>'Sales History'!C10</f>
        <v>Grocery</v>
      </c>
      <c r="D10" s="3" t="s">
        <v>84</v>
      </c>
      <c r="E10" s="17">
        <v>37.26</v>
      </c>
      <c r="F10" s="15">
        <v>68.3</v>
      </c>
      <c r="G10" s="18">
        <v>120</v>
      </c>
      <c r="H10" s="18">
        <v>14</v>
      </c>
      <c r="I10" s="15">
        <v>56.17</v>
      </c>
      <c r="J10" s="19">
        <v>0.15</v>
      </c>
    </row>
    <row r="11" spans="1:10">
      <c r="A11" s="6" t="str">
        <f>'Sales History'!A11</f>
        <v>P1009</v>
      </c>
      <c r="B11" s="6" t="str">
        <f>'Sales History'!B11</f>
        <v>Denim Jeans</v>
      </c>
      <c r="C11" s="6" t="str">
        <f>'Sales History'!C11</f>
        <v>Beauty &amp; Personal Care</v>
      </c>
      <c r="D11" s="3" t="s">
        <v>85</v>
      </c>
      <c r="E11" s="17">
        <v>43.36</v>
      </c>
      <c r="F11" s="15">
        <v>58.18</v>
      </c>
      <c r="G11" s="18">
        <v>274</v>
      </c>
      <c r="H11" s="18">
        <v>14</v>
      </c>
      <c r="I11" s="15">
        <v>53.25</v>
      </c>
      <c r="J11" s="19">
        <v>0.26</v>
      </c>
    </row>
    <row r="12" spans="1:10">
      <c r="A12" s="6" t="str">
        <f>'Sales History'!A12</f>
        <v>P1010</v>
      </c>
      <c r="B12" s="6" t="str">
        <f>'Sales History'!B12</f>
        <v>Running Shoes</v>
      </c>
      <c r="C12" s="6" t="str">
        <f>'Sales History'!C12</f>
        <v>Electronics Accessories</v>
      </c>
      <c r="D12" s="3" t="s">
        <v>81</v>
      </c>
      <c r="E12" s="17">
        <v>4.17</v>
      </c>
      <c r="F12" s="15">
        <v>7.7</v>
      </c>
      <c r="G12" s="18">
        <v>324</v>
      </c>
      <c r="H12" s="18">
        <v>14</v>
      </c>
      <c r="I12" s="15">
        <v>35.229999999999997</v>
      </c>
      <c r="J12" s="19">
        <v>0.2</v>
      </c>
    </row>
    <row r="13" spans="1:10">
      <c r="A13" s="6" t="str">
        <f>'Sales History'!A13</f>
        <v>P1011</v>
      </c>
      <c r="B13" s="6" t="str">
        <f>'Sales History'!B13</f>
        <v>Woolen Scarf</v>
      </c>
      <c r="C13" s="6" t="str">
        <f>'Sales History'!C13</f>
        <v>Home &amp; Kitchen</v>
      </c>
      <c r="D13" s="3" t="s">
        <v>82</v>
      </c>
      <c r="E13" s="17">
        <v>58.28</v>
      </c>
      <c r="F13" s="15">
        <v>84.71</v>
      </c>
      <c r="G13" s="18">
        <v>205</v>
      </c>
      <c r="H13" s="18">
        <v>21</v>
      </c>
      <c r="I13" s="15">
        <v>19.29</v>
      </c>
      <c r="J13" s="19">
        <v>0.21</v>
      </c>
    </row>
    <row r="14" spans="1:10">
      <c r="A14" s="6" t="str">
        <f>'Sales History'!A14</f>
        <v>P1012</v>
      </c>
      <c r="B14" s="6" t="str">
        <f>'Sales History'!B14</f>
        <v>Basmati Rice 5kg</v>
      </c>
      <c r="C14" s="6" t="str">
        <f>'Sales History'!C14</f>
        <v>Apparel</v>
      </c>
      <c r="D14" s="3" t="s">
        <v>83</v>
      </c>
      <c r="E14" s="17">
        <v>50.45</v>
      </c>
      <c r="F14" s="15">
        <v>68.540000000000006</v>
      </c>
      <c r="G14" s="18">
        <v>232</v>
      </c>
      <c r="H14" s="18">
        <v>5</v>
      </c>
      <c r="I14" s="15">
        <v>31.69</v>
      </c>
      <c r="J14" s="19">
        <v>0.23</v>
      </c>
    </row>
    <row r="15" spans="1:10">
      <c r="A15" s="6" t="str">
        <f>'Sales History'!A15</f>
        <v>P1013</v>
      </c>
      <c r="B15" s="6" t="str">
        <f>'Sales History'!B15</f>
        <v>Cooking Oil 1L</v>
      </c>
      <c r="C15" s="6" t="str">
        <f>'Sales History'!C15</f>
        <v>Grocery</v>
      </c>
      <c r="D15" s="3" t="s">
        <v>84</v>
      </c>
      <c r="E15" s="17">
        <v>15.1</v>
      </c>
      <c r="F15" s="15">
        <v>32.53</v>
      </c>
      <c r="G15" s="18">
        <v>58</v>
      </c>
      <c r="H15" s="18">
        <v>21</v>
      </c>
      <c r="I15" s="15">
        <v>45.1</v>
      </c>
      <c r="J15" s="19">
        <v>0.14000000000000001</v>
      </c>
    </row>
    <row r="16" spans="1:10">
      <c r="A16" s="6" t="str">
        <f>'Sales History'!A16</f>
        <v>P1014</v>
      </c>
      <c r="B16" s="6" t="str">
        <f>'Sales History'!B16</f>
        <v>Green Tea Pack</v>
      </c>
      <c r="C16" s="6" t="str">
        <f>'Sales History'!C16</f>
        <v>Beauty &amp; Personal Care</v>
      </c>
      <c r="D16" s="3" t="s">
        <v>85</v>
      </c>
      <c r="E16" s="17">
        <v>13.36</v>
      </c>
      <c r="F16" s="15">
        <v>28.98</v>
      </c>
      <c r="G16" s="18">
        <v>176</v>
      </c>
      <c r="H16" s="18">
        <v>21</v>
      </c>
      <c r="I16" s="15">
        <v>44.97</v>
      </c>
      <c r="J16" s="19">
        <v>0.22</v>
      </c>
    </row>
    <row r="17" spans="1:10">
      <c r="A17" s="6" t="str">
        <f>'Sales History'!A17</f>
        <v>P1015</v>
      </c>
      <c r="B17" s="6" t="str">
        <f>'Sales History'!B17</f>
        <v>Breakfast Cereal</v>
      </c>
      <c r="C17" s="6" t="str">
        <f>'Sales History'!C17</f>
        <v>Electronics Accessories</v>
      </c>
      <c r="D17" s="3" t="s">
        <v>81</v>
      </c>
      <c r="E17" s="17">
        <v>13.45</v>
      </c>
      <c r="F17" s="15">
        <v>27.27</v>
      </c>
      <c r="G17" s="18">
        <v>216</v>
      </c>
      <c r="H17" s="18">
        <v>5</v>
      </c>
      <c r="I17" s="15">
        <v>41.61</v>
      </c>
      <c r="J17" s="19">
        <v>0.21</v>
      </c>
    </row>
    <row r="18" spans="1:10">
      <c r="A18" s="6" t="str">
        <f>'Sales History'!A18</f>
        <v>P1016</v>
      </c>
      <c r="B18" s="6" t="str">
        <f>'Sales History'!B18</f>
        <v>Face Moisturizer</v>
      </c>
      <c r="C18" s="6" t="str">
        <f>'Sales History'!C18</f>
        <v>Home &amp; Kitchen</v>
      </c>
      <c r="D18" s="3" t="s">
        <v>82</v>
      </c>
      <c r="E18" s="17">
        <v>20.34</v>
      </c>
      <c r="F18" s="15">
        <v>32.020000000000003</v>
      </c>
      <c r="G18" s="18">
        <v>284</v>
      </c>
      <c r="H18" s="18">
        <v>5</v>
      </c>
      <c r="I18" s="15">
        <v>27.36</v>
      </c>
      <c r="J18" s="19">
        <v>0.15</v>
      </c>
    </row>
    <row r="19" spans="1:10">
      <c r="A19" s="6" t="str">
        <f>'Sales History'!A19</f>
        <v>P1017</v>
      </c>
      <c r="B19" s="6" t="str">
        <f>'Sales History'!B19</f>
        <v>Shampoo 400ml</v>
      </c>
      <c r="C19" s="6" t="str">
        <f>'Sales History'!C19</f>
        <v>Apparel</v>
      </c>
      <c r="D19" s="3" t="s">
        <v>83</v>
      </c>
      <c r="E19" s="17">
        <v>32.909999999999997</v>
      </c>
      <c r="F19" s="15">
        <v>45.68</v>
      </c>
      <c r="G19" s="18">
        <v>365</v>
      </c>
      <c r="H19" s="18">
        <v>5</v>
      </c>
      <c r="I19" s="15">
        <v>40.26</v>
      </c>
      <c r="J19" s="19">
        <v>0.27</v>
      </c>
    </row>
    <row r="20" spans="1:10">
      <c r="A20" s="6" t="str">
        <f>'Sales History'!A20</f>
        <v>P1018</v>
      </c>
      <c r="B20" s="6" t="str">
        <f>'Sales History'!B20</f>
        <v>Hand Wash 250ml</v>
      </c>
      <c r="C20" s="6" t="str">
        <f>'Sales History'!C20</f>
        <v>Grocery</v>
      </c>
      <c r="D20" s="3" t="s">
        <v>84</v>
      </c>
      <c r="E20" s="17">
        <v>27.62</v>
      </c>
      <c r="F20" s="15">
        <v>52.91</v>
      </c>
      <c r="G20" s="18">
        <v>318</v>
      </c>
      <c r="H20" s="18">
        <v>5</v>
      </c>
      <c r="I20" s="15">
        <v>32.229999999999997</v>
      </c>
      <c r="J20" s="19">
        <v>0.22</v>
      </c>
    </row>
    <row r="21" spans="1:10">
      <c r="A21" s="6" t="str">
        <f>'Sales History'!A21</f>
        <v>P1019</v>
      </c>
      <c r="B21" s="6" t="str">
        <f>'Sales History'!B21</f>
        <v>Lip Balm Pack</v>
      </c>
      <c r="C21" s="6" t="str">
        <f>'Sales History'!C21</f>
        <v>Beauty &amp; Personal Care</v>
      </c>
      <c r="D21" s="3" t="s">
        <v>85</v>
      </c>
      <c r="E21" s="17">
        <v>19.600000000000001</v>
      </c>
      <c r="F21" s="15">
        <v>33.24</v>
      </c>
      <c r="G21" s="18">
        <v>285</v>
      </c>
      <c r="H21" s="18">
        <v>14</v>
      </c>
      <c r="I21" s="15">
        <v>58.73</v>
      </c>
      <c r="J21" s="19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2529-21E6-4064-8DD2-0FF00E2A52E9}">
  <sheetPr>
    <tabColor theme="8" tint="0.39997558519241921"/>
  </sheetPr>
  <dimension ref="A1:AD22"/>
  <sheetViews>
    <sheetView workbookViewId="0">
      <selection activeCell="B1" sqref="B1:D21"/>
    </sheetView>
  </sheetViews>
  <sheetFormatPr defaultRowHeight="15"/>
  <cols>
    <col min="2" max="2" width="20.5703125" bestFit="1" customWidth="1"/>
    <col min="3" max="3" width="26.85546875" customWidth="1"/>
    <col min="4" max="4" width="18.42578125" bestFit="1" customWidth="1"/>
    <col min="5" max="5" width="24.7109375" customWidth="1"/>
    <col min="6" max="6" width="14.28515625" bestFit="1" customWidth="1"/>
    <col min="7" max="7" width="13.5703125" customWidth="1"/>
    <col min="8" max="8" width="20.42578125" bestFit="1" customWidth="1"/>
    <col min="9" max="9" width="12.42578125" bestFit="1" customWidth="1"/>
    <col min="10" max="11" width="15.42578125" bestFit="1" customWidth="1"/>
    <col min="12" max="12" width="15.140625" bestFit="1" customWidth="1"/>
    <col min="13" max="13" width="12.42578125" bestFit="1" customWidth="1"/>
    <col min="14" max="14" width="11.42578125" bestFit="1" customWidth="1"/>
    <col min="15" max="15" width="12.42578125" bestFit="1" customWidth="1"/>
    <col min="16" max="16" width="10.85546875" bestFit="1" customWidth="1"/>
    <col min="17" max="17" width="22.140625" bestFit="1" customWidth="1"/>
    <col min="18" max="18" width="14" customWidth="1"/>
    <col min="19" max="19" width="10.42578125" bestFit="1" customWidth="1"/>
    <col min="20" max="20" width="9.28515625" bestFit="1" customWidth="1"/>
    <col min="21" max="21" width="9.85546875" bestFit="1" customWidth="1"/>
    <col min="22" max="22" width="24" bestFit="1" customWidth="1"/>
    <col min="23" max="23" width="15.7109375" bestFit="1" customWidth="1"/>
    <col min="26" max="26" width="13.5703125" customWidth="1"/>
    <col min="27" max="27" width="34.7109375" customWidth="1"/>
    <col min="29" max="29" width="20.42578125" customWidth="1"/>
    <col min="30" max="30" width="15.28515625" customWidth="1"/>
  </cols>
  <sheetData>
    <row r="1" spans="1:30">
      <c r="A1" s="2" t="s">
        <v>12</v>
      </c>
      <c r="B1" s="2" t="s">
        <v>13</v>
      </c>
      <c r="C1" s="2" t="s">
        <v>28</v>
      </c>
      <c r="D1" s="2" t="s">
        <v>86</v>
      </c>
      <c r="E1" s="2" t="s">
        <v>14</v>
      </c>
      <c r="F1" s="2" t="s">
        <v>87</v>
      </c>
      <c r="G1" s="2" t="s">
        <v>75</v>
      </c>
      <c r="H1" s="2" t="s">
        <v>88</v>
      </c>
      <c r="I1" s="2" t="s">
        <v>89</v>
      </c>
      <c r="J1" s="2" t="s">
        <v>78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  <c r="R1" s="2" t="s">
        <v>97</v>
      </c>
      <c r="S1" s="2" t="s">
        <v>98</v>
      </c>
      <c r="T1" s="2" t="s">
        <v>99</v>
      </c>
      <c r="U1" s="2" t="s">
        <v>100</v>
      </c>
      <c r="V1" s="2" t="s">
        <v>101</v>
      </c>
      <c r="W1" s="2" t="s">
        <v>102</v>
      </c>
    </row>
    <row r="2" spans="1:30">
      <c r="A2" s="7" t="str">
        <f>'Sales History'!A2</f>
        <v>P1000</v>
      </c>
      <c r="B2" s="7" t="str">
        <f>'Sales History'!B2</f>
        <v>Wireless Earbuds</v>
      </c>
      <c r="C2" s="8">
        <f>'Sales History'!Q2</f>
        <v>138.66666666666666</v>
      </c>
      <c r="D2" s="9">
        <f>_xlfn.FORECAST.LINEAR(13,'Sales History'!D2:O2,{1,2,3,4,5,6,7,8,9,10,11,12})</f>
        <v>123.66666666666666</v>
      </c>
      <c r="E2" s="7" t="str">
        <f>'Sales History'!C2</f>
        <v>Electronics Accessories</v>
      </c>
      <c r="F2" s="7">
        <f>C2*12</f>
        <v>1664</v>
      </c>
      <c r="G2" s="10">
        <f>INDEX('Product Master'!$E$2:$E$21,MATCH(A2,'Product Master'!$A$2:$A$21,0))</f>
        <v>24.35</v>
      </c>
      <c r="H2" s="11">
        <f>F2*G2</f>
        <v>40518.400000000001</v>
      </c>
      <c r="I2" s="7">
        <f>INDEX('Product Master'!$G$2:$G$21,MATCH(A2,'Product Master'!$A$2:$A$21,0))</f>
        <v>278</v>
      </c>
      <c r="J2" s="7">
        <f>INDEX('Product Master'!$H$2:$H$21,MATCH(A2,'Product Master'!$A$2:$A$21,0))</f>
        <v>14</v>
      </c>
      <c r="K2" s="10">
        <f>INDEX('Product Master'!$I$2:$I$21,MATCH(A2,'Product Master'!$A$2:$A$21,0))</f>
        <v>28.21</v>
      </c>
      <c r="L2" s="12">
        <f>INDEX('Product Master'!$J$2:$J$21,MATCH(A2,'Product Master'!$A$2:$A$21,0))</f>
        <v>0.26</v>
      </c>
      <c r="M2" s="9">
        <f>F2/365</f>
        <v>4.558904109589041</v>
      </c>
      <c r="N2" s="8">
        <f>M2*J2*0.2</f>
        <v>12.764931506849315</v>
      </c>
      <c r="O2" s="8">
        <f>M2*J2+N2</f>
        <v>76.589589041095891</v>
      </c>
      <c r="P2" s="20">
        <f>IFERROR(SQRT(2*F2*K2/(G2*L2)),0)</f>
        <v>121.77469349318578</v>
      </c>
      <c r="Q2" s="20">
        <f>IFERROR(I2/M2,0)</f>
        <v>60.979567307692307</v>
      </c>
      <c r="R2" s="13" t="str">
        <f>IF(I2&lt;=O2,"Reorder Now",IF(Q2&lt;30,"Monitor","Healthy"))</f>
        <v>Healthy</v>
      </c>
      <c r="S2" s="7">
        <f>RANK(H2,$H$2:$H$21,0)</f>
        <v>8</v>
      </c>
      <c r="T2" s="14">
        <f>S2/COUNT($H$2:$H$21)</f>
        <v>0.4</v>
      </c>
      <c r="U2" s="7" t="str">
        <f>IF(T2&lt;=0.2,"A",IF(T2&lt;=0.5,"B","C"))</f>
        <v>B</v>
      </c>
      <c r="V2" s="9">
        <f>M2*14+N2</f>
        <v>76.589589041095891</v>
      </c>
      <c r="W2" s="7" t="str">
        <f>IF(I2&lt;=V2,"Yes","No")</f>
        <v>No</v>
      </c>
    </row>
    <row r="3" spans="1:30">
      <c r="A3" s="7" t="str">
        <f>'Sales History'!A3</f>
        <v>P1001</v>
      </c>
      <c r="B3" s="7" t="str">
        <f>'Sales History'!B3</f>
        <v>USB-C Charging Cable</v>
      </c>
      <c r="C3" s="8">
        <f>'Sales History'!Q3</f>
        <v>91.25</v>
      </c>
      <c r="D3" s="9">
        <f>_xlfn.FORECAST.LINEAR(13,'Sales History'!D3:O3,{1,2,3,4,5,6,7,8,9,10,11,12})</f>
        <v>96.090909090909093</v>
      </c>
      <c r="E3" s="7" t="str">
        <f>'Sales History'!C3</f>
        <v>Home &amp; Kitchen</v>
      </c>
      <c r="F3" s="7">
        <f t="shared" ref="F3:F21" si="0">C3*12</f>
        <v>1095</v>
      </c>
      <c r="G3" s="10">
        <f>INDEX('Product Master'!$E$2:$E$21,MATCH(A3,'Product Master'!$A$2:$A$21,0))</f>
        <v>57.19</v>
      </c>
      <c r="H3" s="11">
        <f t="shared" ref="H3:H21" si="1">F3*G3</f>
        <v>62623.049999999996</v>
      </c>
      <c r="I3" s="7">
        <f>INDEX('Product Master'!$G$2:$G$21,MATCH(A3,'Product Master'!$A$2:$A$21,0))</f>
        <v>49</v>
      </c>
      <c r="J3" s="7">
        <f>INDEX('Product Master'!$H$2:$H$21,MATCH(A3,'Product Master'!$A$2:$A$21,0))</f>
        <v>5</v>
      </c>
      <c r="K3" s="10">
        <f>INDEX('Product Master'!$I$2:$I$21,MATCH(A3,'Product Master'!$A$2:$A$21,0))</f>
        <v>15.63</v>
      </c>
      <c r="L3" s="12">
        <f>INDEX('Product Master'!$J$2:$J$21,MATCH(A3,'Product Master'!$A$2:$A$21,0))</f>
        <v>0.24</v>
      </c>
      <c r="M3" s="9">
        <f t="shared" ref="M3:M21" si="2">F3/365</f>
        <v>3</v>
      </c>
      <c r="N3" s="8">
        <f t="shared" ref="N3:N22" si="3">M3*J3*0.2</f>
        <v>3</v>
      </c>
      <c r="O3" s="8">
        <f t="shared" ref="O3:O21" si="4">M3*J3+N3</f>
        <v>18</v>
      </c>
      <c r="P3" s="20">
        <f t="shared" ref="P3:P21" si="5">IFERROR(SQRT(2*F3*K3/(G3*L3)),0)</f>
        <v>49.938544151703177</v>
      </c>
      <c r="Q3" s="20">
        <f t="shared" ref="Q3:Q21" si="6">IFERROR(I3/M3,0)</f>
        <v>16.333333333333332</v>
      </c>
      <c r="R3" s="13" t="str">
        <f t="shared" ref="R3:R21" si="7">IF(I3&lt;=O3,"Reorder Now",IF(Q3&lt;30,"Monitor","Healthy"))</f>
        <v>Monitor</v>
      </c>
      <c r="S3" s="7">
        <f t="shared" ref="S3:S21" si="8">RANK(H3,$H$2:$H$21,0)</f>
        <v>2</v>
      </c>
      <c r="T3" s="14">
        <f t="shared" ref="T3:T21" si="9">S3/COUNT($H$2:$H$21)</f>
        <v>0.1</v>
      </c>
      <c r="U3" s="7" t="str">
        <f t="shared" ref="U3:U21" si="10">IF(T3&lt;=0.2,"A",IF(T3&lt;=0.5,"B","C"))</f>
        <v>A</v>
      </c>
      <c r="V3" s="9">
        <f t="shared" ref="V3:V21" si="11">M3*14+N3</f>
        <v>45</v>
      </c>
      <c r="W3" s="7" t="str">
        <f t="shared" ref="W3:W21" si="12">IF(I3&lt;=V3,"Yes","No")</f>
        <v>No</v>
      </c>
    </row>
    <row r="4" spans="1:30">
      <c r="A4" s="7" t="str">
        <f>'Sales History'!A4</f>
        <v>P1002</v>
      </c>
      <c r="B4" s="7" t="str">
        <f>'Sales History'!B4</f>
        <v>Bluetooth Speaker</v>
      </c>
      <c r="C4" s="8">
        <f>'Sales History'!Q4</f>
        <v>72.25</v>
      </c>
      <c r="D4" s="9">
        <f>_xlfn.FORECAST.LINEAR(13,'Sales History'!D4:O4,{1,2,3,4,5,6,7,8,9,10,11,12})</f>
        <v>101.59090909090909</v>
      </c>
      <c r="E4" s="7" t="str">
        <f>'Sales History'!C4</f>
        <v>Apparel</v>
      </c>
      <c r="F4" s="7">
        <f t="shared" si="0"/>
        <v>867</v>
      </c>
      <c r="G4" s="10">
        <f>INDEX('Product Master'!$E$2:$E$21,MATCH(A4,'Product Master'!$A$2:$A$21,0))</f>
        <v>44.72</v>
      </c>
      <c r="H4" s="11">
        <f t="shared" si="1"/>
        <v>38772.239999999998</v>
      </c>
      <c r="I4" s="7">
        <f>INDEX('Product Master'!$G$2:$G$21,MATCH(A4,'Product Master'!$A$2:$A$21,0))</f>
        <v>220</v>
      </c>
      <c r="J4" s="7">
        <f>INDEX('Product Master'!$H$2:$H$21,MATCH(A4,'Product Master'!$A$2:$A$21,0))</f>
        <v>21</v>
      </c>
      <c r="K4" s="10">
        <f>INDEX('Product Master'!$I$2:$I$21,MATCH(A4,'Product Master'!$A$2:$A$21,0))</f>
        <v>23.95</v>
      </c>
      <c r="L4" s="12">
        <f>INDEX('Product Master'!$J$2:$J$21,MATCH(A4,'Product Master'!$A$2:$A$21,0))</f>
        <v>0.16</v>
      </c>
      <c r="M4" s="9">
        <f t="shared" si="2"/>
        <v>2.3753424657534246</v>
      </c>
      <c r="N4" s="8">
        <f t="shared" si="3"/>
        <v>9.9764383561643832</v>
      </c>
      <c r="O4" s="8">
        <f t="shared" si="4"/>
        <v>59.858630136986292</v>
      </c>
      <c r="P4" s="20">
        <f t="shared" si="5"/>
        <v>76.184464050171059</v>
      </c>
      <c r="Q4" s="20">
        <f t="shared" si="6"/>
        <v>92.618223760092278</v>
      </c>
      <c r="R4" s="13" t="str">
        <f t="shared" si="7"/>
        <v>Healthy</v>
      </c>
      <c r="S4" s="7">
        <f t="shared" si="8"/>
        <v>9</v>
      </c>
      <c r="T4" s="14">
        <f t="shared" si="9"/>
        <v>0.45</v>
      </c>
      <c r="U4" s="7" t="str">
        <f t="shared" si="10"/>
        <v>B</v>
      </c>
      <c r="V4" s="9">
        <f t="shared" si="11"/>
        <v>43.231232876712326</v>
      </c>
      <c r="W4" s="7" t="str">
        <f t="shared" si="12"/>
        <v>No</v>
      </c>
    </row>
    <row r="5" spans="1:30" ht="15.75">
      <c r="A5" s="7" t="str">
        <f>'Sales History'!A5</f>
        <v>P1003</v>
      </c>
      <c r="B5" s="7" t="str">
        <f>'Sales History'!B5</f>
        <v>Phone Stand</v>
      </c>
      <c r="C5" s="8">
        <f>'Sales History'!Q5</f>
        <v>44.583333333333336</v>
      </c>
      <c r="D5" s="9">
        <f>_xlfn.FORECAST.LINEAR(13,'Sales History'!D5:O5,{1,2,3,4,5,6,7,8,9,10,11,12})</f>
        <v>47.696969696969703</v>
      </c>
      <c r="E5" s="7" t="str">
        <f>'Sales History'!C5</f>
        <v>Grocery</v>
      </c>
      <c r="F5" s="7">
        <f t="shared" si="0"/>
        <v>535</v>
      </c>
      <c r="G5" s="10">
        <f>INDEX('Product Master'!$E$2:$E$21,MATCH(A5,'Product Master'!$A$2:$A$21,0))</f>
        <v>37.119999999999997</v>
      </c>
      <c r="H5" s="11">
        <f t="shared" si="1"/>
        <v>19859.199999999997</v>
      </c>
      <c r="I5" s="7">
        <f>INDEX('Product Master'!$G$2:$G$21,MATCH(A5,'Product Master'!$A$2:$A$21,0))</f>
        <v>95</v>
      </c>
      <c r="J5" s="7">
        <f>INDEX('Product Master'!$H$2:$H$21,MATCH(A5,'Product Master'!$A$2:$A$21,0))</f>
        <v>21</v>
      </c>
      <c r="K5" s="10">
        <f>INDEX('Product Master'!$I$2:$I$21,MATCH(A5,'Product Master'!$A$2:$A$21,0))</f>
        <v>47.01</v>
      </c>
      <c r="L5" s="12">
        <f>INDEX('Product Master'!$J$2:$J$21,MATCH(A5,'Product Master'!$A$2:$A$21,0))</f>
        <v>0.16</v>
      </c>
      <c r="M5" s="9">
        <f t="shared" si="2"/>
        <v>1.4657534246575343</v>
      </c>
      <c r="N5" s="8">
        <f t="shared" si="3"/>
        <v>6.1561643835616451</v>
      </c>
      <c r="O5" s="8">
        <f t="shared" si="4"/>
        <v>36.93698630136987</v>
      </c>
      <c r="P5" s="20">
        <f t="shared" si="5"/>
        <v>92.028647473593594</v>
      </c>
      <c r="Q5" s="20">
        <f t="shared" si="6"/>
        <v>64.813084112149525</v>
      </c>
      <c r="R5" s="13" t="str">
        <f t="shared" si="7"/>
        <v>Healthy</v>
      </c>
      <c r="S5" s="7">
        <f t="shared" si="8"/>
        <v>11</v>
      </c>
      <c r="T5" s="14">
        <f t="shared" si="9"/>
        <v>0.55000000000000004</v>
      </c>
      <c r="U5" s="7" t="str">
        <f t="shared" si="10"/>
        <v>C</v>
      </c>
      <c r="V5" s="9">
        <f t="shared" si="11"/>
        <v>26.676712328767124</v>
      </c>
      <c r="W5" s="7" t="str">
        <f t="shared" si="12"/>
        <v>No</v>
      </c>
      <c r="Z5" s="27" t="s">
        <v>100</v>
      </c>
      <c r="AA5" s="27" t="s">
        <v>103</v>
      </c>
      <c r="AC5" s="24"/>
      <c r="AD5" s="24"/>
    </row>
    <row r="6" spans="1:30">
      <c r="A6" s="7" t="str">
        <f>'Sales History'!A6</f>
        <v>P1004</v>
      </c>
      <c r="B6" s="7" t="str">
        <f>'Sales History'!B6</f>
        <v>Non-Stick Frying Pan</v>
      </c>
      <c r="C6" s="8">
        <f>'Sales History'!Q6</f>
        <v>53.333333333333336</v>
      </c>
      <c r="D6" s="9">
        <f>_xlfn.FORECAST.LINEAR(13,'Sales History'!D6:O6,{1,2,3,4,5,6,7,8,9,10,11,12})</f>
        <v>58.106060606060609</v>
      </c>
      <c r="E6" s="7" t="str">
        <f>'Sales History'!C6</f>
        <v>Beauty &amp; Personal Care</v>
      </c>
      <c r="F6" s="7">
        <f t="shared" si="0"/>
        <v>640</v>
      </c>
      <c r="G6" s="10">
        <f>INDEX('Product Master'!$E$2:$E$21,MATCH(A6,'Product Master'!$A$2:$A$21,0))</f>
        <v>11.89</v>
      </c>
      <c r="H6" s="11">
        <f t="shared" si="1"/>
        <v>7609.6</v>
      </c>
      <c r="I6" s="7">
        <f>INDEX('Product Master'!$G$2:$G$21,MATCH(A6,'Product Master'!$A$2:$A$21,0))</f>
        <v>64</v>
      </c>
      <c r="J6" s="7">
        <f>INDEX('Product Master'!$H$2:$H$21,MATCH(A6,'Product Master'!$A$2:$A$21,0))</f>
        <v>7</v>
      </c>
      <c r="K6" s="10">
        <f>INDEX('Product Master'!$I$2:$I$21,MATCH(A6,'Product Master'!$A$2:$A$21,0))</f>
        <v>50.56</v>
      </c>
      <c r="L6" s="12">
        <f>INDEX('Product Master'!$J$2:$J$21,MATCH(A6,'Product Master'!$A$2:$A$21,0))</f>
        <v>0.13</v>
      </c>
      <c r="M6" s="9">
        <f t="shared" si="2"/>
        <v>1.7534246575342465</v>
      </c>
      <c r="N6" s="8">
        <f t="shared" si="3"/>
        <v>2.4547945205479453</v>
      </c>
      <c r="O6" s="8">
        <f t="shared" si="4"/>
        <v>14.728767123287671</v>
      </c>
      <c r="P6" s="20">
        <f t="shared" si="5"/>
        <v>204.61897932468796</v>
      </c>
      <c r="Q6" s="20">
        <f t="shared" si="6"/>
        <v>36.5</v>
      </c>
      <c r="R6" s="13" t="str">
        <f t="shared" si="7"/>
        <v>Healthy</v>
      </c>
      <c r="S6" s="7">
        <f t="shared" si="8"/>
        <v>19</v>
      </c>
      <c r="T6" s="14">
        <f t="shared" si="9"/>
        <v>0.95</v>
      </c>
      <c r="U6" s="7" t="str">
        <f t="shared" si="10"/>
        <v>C</v>
      </c>
      <c r="V6" s="9">
        <f t="shared" si="11"/>
        <v>27.002739726027396</v>
      </c>
      <c r="W6" s="7" t="str">
        <f t="shared" si="12"/>
        <v>No</v>
      </c>
      <c r="Z6" s="25" t="s">
        <v>104</v>
      </c>
      <c r="AA6" s="26">
        <f>COUNTIF($U$2:$U$21,"A")</f>
        <v>4</v>
      </c>
      <c r="AC6" s="28" t="s">
        <v>13</v>
      </c>
      <c r="AD6" s="28" t="s">
        <v>105</v>
      </c>
    </row>
    <row r="7" spans="1:30">
      <c r="A7" s="7" t="str">
        <f>'Sales History'!A7</f>
        <v>P1005</v>
      </c>
      <c r="B7" s="7" t="str">
        <f>'Sales History'!B7</f>
        <v>Ceramic Mug Set</v>
      </c>
      <c r="C7" s="8">
        <f>'Sales History'!Q7</f>
        <v>84.083333333333329</v>
      </c>
      <c r="D7" s="9">
        <f>_xlfn.FORECAST.LINEAR(13,'Sales History'!D7:O7,{1,2,3,4,5,6,7,8,9,10,11,12})</f>
        <v>108.46969696969697</v>
      </c>
      <c r="E7" s="7" t="str">
        <f>'Sales History'!C7</f>
        <v>Electronics Accessories</v>
      </c>
      <c r="F7" s="7">
        <f t="shared" si="0"/>
        <v>1009</v>
      </c>
      <c r="G7" s="10">
        <f>INDEX('Product Master'!$E$2:$E$21,MATCH(A7,'Product Master'!$A$2:$A$21,0))</f>
        <v>11.89</v>
      </c>
      <c r="H7" s="11">
        <f t="shared" si="1"/>
        <v>11997.01</v>
      </c>
      <c r="I7" s="7">
        <f>INDEX('Product Master'!$G$2:$G$21,MATCH(A7,'Product Master'!$A$2:$A$21,0))</f>
        <v>374</v>
      </c>
      <c r="J7" s="7">
        <f>INDEX('Product Master'!$H$2:$H$21,MATCH(A7,'Product Master'!$A$2:$A$21,0))</f>
        <v>21</v>
      </c>
      <c r="K7" s="10">
        <f>INDEX('Product Master'!$I$2:$I$21,MATCH(A7,'Product Master'!$A$2:$A$21,0))</f>
        <v>42.27</v>
      </c>
      <c r="L7" s="12">
        <f>INDEX('Product Master'!$J$2:$J$21,MATCH(A7,'Product Master'!$A$2:$A$21,0))</f>
        <v>0.23</v>
      </c>
      <c r="M7" s="9">
        <f t="shared" si="2"/>
        <v>2.7643835616438355</v>
      </c>
      <c r="N7" s="8">
        <f t="shared" si="3"/>
        <v>11.61041095890411</v>
      </c>
      <c r="O7" s="8">
        <f t="shared" si="4"/>
        <v>69.662465753424655</v>
      </c>
      <c r="P7" s="20">
        <f t="shared" si="5"/>
        <v>176.61267137290105</v>
      </c>
      <c r="Q7" s="20">
        <f t="shared" si="6"/>
        <v>135.29236868186325</v>
      </c>
      <c r="R7" s="13" t="str">
        <f t="shared" si="7"/>
        <v>Healthy</v>
      </c>
      <c r="S7" s="7">
        <f t="shared" si="8"/>
        <v>15</v>
      </c>
      <c r="T7" s="14">
        <f t="shared" si="9"/>
        <v>0.75</v>
      </c>
      <c r="U7" s="7" t="str">
        <f t="shared" si="10"/>
        <v>C</v>
      </c>
      <c r="V7" s="9">
        <f t="shared" si="11"/>
        <v>50.311780821917807</v>
      </c>
      <c r="W7" s="7" t="str">
        <f t="shared" si="12"/>
        <v>No</v>
      </c>
      <c r="Z7" s="25" t="s">
        <v>106</v>
      </c>
      <c r="AA7" s="26">
        <f>COUNTIF($U$2:$U$21,"B")</f>
        <v>6</v>
      </c>
      <c r="AC7" s="29" t="str">
        <f>INDEX($B$2:$B$21,MATCH(AD7,$H$2:$H$21,0))</f>
        <v>Woolen Scarf</v>
      </c>
      <c r="AD7" s="29">
        <f>LARGE($H$2:$H$21,ROW(A1))</f>
        <v>99250.84</v>
      </c>
    </row>
    <row r="8" spans="1:30">
      <c r="A8" s="7" t="str">
        <f>'Sales History'!A8</f>
        <v>P1006</v>
      </c>
      <c r="B8" s="7" t="str">
        <f>'Sales History'!B8</f>
        <v>Electric Kettle</v>
      </c>
      <c r="C8" s="8">
        <f>'Sales History'!Q8</f>
        <v>103.25</v>
      </c>
      <c r="D8" s="9">
        <f>_xlfn.FORECAST.LINEAR(13,'Sales History'!D8:O8,{1,2,3,4,5,6,7,8,9,10,11,12})</f>
        <v>79.681818181818187</v>
      </c>
      <c r="E8" s="7" t="str">
        <f>'Sales History'!C8</f>
        <v>Home &amp; Kitchen</v>
      </c>
      <c r="F8" s="7">
        <f t="shared" si="0"/>
        <v>1239</v>
      </c>
      <c r="G8" s="10">
        <f>INDEX('Product Master'!$E$2:$E$21,MATCH(A8,'Product Master'!$A$2:$A$21,0))</f>
        <v>6.31</v>
      </c>
      <c r="H8" s="11">
        <f t="shared" si="1"/>
        <v>7818.0899999999992</v>
      </c>
      <c r="I8" s="7">
        <f>INDEX('Product Master'!$G$2:$G$21,MATCH(A8,'Product Master'!$A$2:$A$21,0))</f>
        <v>16</v>
      </c>
      <c r="J8" s="7">
        <f>INDEX('Product Master'!$H$2:$H$21,MATCH(A8,'Product Master'!$A$2:$A$21,0))</f>
        <v>7</v>
      </c>
      <c r="K8" s="10">
        <f>INDEX('Product Master'!$I$2:$I$21,MATCH(A8,'Product Master'!$A$2:$A$21,0))</f>
        <v>56.68</v>
      </c>
      <c r="L8" s="12">
        <f>INDEX('Product Master'!$J$2:$J$21,MATCH(A8,'Product Master'!$A$2:$A$21,0))</f>
        <v>0.14000000000000001</v>
      </c>
      <c r="M8" s="9">
        <f t="shared" si="2"/>
        <v>3.3945205479452056</v>
      </c>
      <c r="N8" s="8">
        <f t="shared" si="3"/>
        <v>4.7523287671232879</v>
      </c>
      <c r="O8" s="8">
        <f t="shared" si="4"/>
        <v>28.513972602739727</v>
      </c>
      <c r="P8" s="20">
        <f t="shared" si="5"/>
        <v>398.73730971067783</v>
      </c>
      <c r="Q8" s="20">
        <f t="shared" si="6"/>
        <v>4.713478611783696</v>
      </c>
      <c r="R8" s="13" t="str">
        <f t="shared" si="7"/>
        <v>Reorder Now</v>
      </c>
      <c r="S8" s="7">
        <f t="shared" si="8"/>
        <v>18</v>
      </c>
      <c r="T8" s="14">
        <f t="shared" si="9"/>
        <v>0.9</v>
      </c>
      <c r="U8" s="7" t="str">
        <f t="shared" si="10"/>
        <v>C</v>
      </c>
      <c r="V8" s="9">
        <f t="shared" si="11"/>
        <v>52.275616438356167</v>
      </c>
      <c r="W8" s="7" t="str">
        <f t="shared" si="12"/>
        <v>Yes</v>
      </c>
      <c r="Z8" s="25" t="s">
        <v>107</v>
      </c>
      <c r="AA8" s="26">
        <f>COUNTIF($U$2:$U$21,"C")</f>
        <v>10</v>
      </c>
      <c r="AC8" s="29" t="str">
        <f>INDEX($B$2:$B$21,MATCH(AD8,$H$2:$H$21,0))</f>
        <v>USB-C Charging Cable</v>
      </c>
      <c r="AD8" s="29">
        <f t="shared" ref="AD8:AD11" si="13">LARGE($H$2:$H$21,ROW(A2))</f>
        <v>62623.049999999996</v>
      </c>
    </row>
    <row r="9" spans="1:30">
      <c r="A9" s="7" t="str">
        <f>'Sales History'!A9</f>
        <v>P1007</v>
      </c>
      <c r="B9" s="7" t="str">
        <f>'Sales History'!B9</f>
        <v>Cutlery Set</v>
      </c>
      <c r="C9" s="8">
        <f>'Sales History'!Q9</f>
        <v>68</v>
      </c>
      <c r="D9" s="9">
        <f>_xlfn.FORECAST.LINEAR(13,'Sales History'!D9:O9,{1,2,3,4,5,6,7,8,9,10,11,12})</f>
        <v>69.5</v>
      </c>
      <c r="E9" s="7" t="str">
        <f>'Sales History'!C9</f>
        <v>Apparel</v>
      </c>
      <c r="F9" s="7">
        <f t="shared" si="0"/>
        <v>816</v>
      </c>
      <c r="G9" s="10">
        <f>INDEX('Product Master'!$E$2:$E$21,MATCH(A9,'Product Master'!$A$2:$A$21,0))</f>
        <v>52.37</v>
      </c>
      <c r="H9" s="11">
        <f t="shared" si="1"/>
        <v>42733.919999999998</v>
      </c>
      <c r="I9" s="7">
        <f>INDEX('Product Master'!$G$2:$G$21,MATCH(A9,'Product Master'!$A$2:$A$21,0))</f>
        <v>68</v>
      </c>
      <c r="J9" s="7">
        <f>INDEX('Product Master'!$H$2:$H$21,MATCH(A9,'Product Master'!$A$2:$A$21,0))</f>
        <v>5</v>
      </c>
      <c r="K9" s="10">
        <f>INDEX('Product Master'!$I$2:$I$21,MATCH(A9,'Product Master'!$A$2:$A$21,0))</f>
        <v>44.3</v>
      </c>
      <c r="L9" s="12">
        <f>INDEX('Product Master'!$J$2:$J$21,MATCH(A9,'Product Master'!$A$2:$A$21,0))</f>
        <v>0.19</v>
      </c>
      <c r="M9" s="9">
        <f t="shared" si="2"/>
        <v>2.2356164383561645</v>
      </c>
      <c r="N9" s="8">
        <f t="shared" si="3"/>
        <v>2.2356164383561645</v>
      </c>
      <c r="O9" s="8">
        <f t="shared" si="4"/>
        <v>13.413698630136986</v>
      </c>
      <c r="P9" s="20">
        <f t="shared" si="5"/>
        <v>85.240080835029644</v>
      </c>
      <c r="Q9" s="20">
        <f t="shared" si="6"/>
        <v>30.416666666666664</v>
      </c>
      <c r="R9" s="13" t="str">
        <f t="shared" si="7"/>
        <v>Healthy</v>
      </c>
      <c r="S9" s="7">
        <f t="shared" si="8"/>
        <v>6</v>
      </c>
      <c r="T9" s="14">
        <f t="shared" si="9"/>
        <v>0.3</v>
      </c>
      <c r="U9" s="7" t="str">
        <f t="shared" si="10"/>
        <v>B</v>
      </c>
      <c r="V9" s="9">
        <f t="shared" si="11"/>
        <v>33.534246575342472</v>
      </c>
      <c r="W9" s="7" t="str">
        <f t="shared" si="12"/>
        <v>No</v>
      </c>
      <c r="AC9" s="29" t="str">
        <f>INDEX($B$2:$B$21,MATCH(AD9,$H$2:$H$21,0))</f>
        <v>Basmati Rice 5kg</v>
      </c>
      <c r="AD9" s="29">
        <f t="shared" si="13"/>
        <v>62457.100000000006</v>
      </c>
    </row>
    <row r="10" spans="1:30">
      <c r="A10" s="7" t="str">
        <f>'Sales History'!A10</f>
        <v>P1008</v>
      </c>
      <c r="B10" s="7" t="str">
        <f>'Sales History'!B10</f>
        <v>Cotton T-Shirt</v>
      </c>
      <c r="C10" s="8">
        <f>'Sales History'!Q10</f>
        <v>128.83333333333334</v>
      </c>
      <c r="D10" s="9">
        <f>_xlfn.FORECAST.LINEAR(13,'Sales History'!D10:O10,{1,2,3,4,5,6,7,8,9,10,11,12})</f>
        <v>139.92424242424244</v>
      </c>
      <c r="E10" s="7" t="str">
        <f>'Sales History'!C10</f>
        <v>Grocery</v>
      </c>
      <c r="F10" s="7">
        <f t="shared" si="0"/>
        <v>1546</v>
      </c>
      <c r="G10" s="10">
        <f>INDEX('Product Master'!$E$2:$E$21,MATCH(A10,'Product Master'!$A$2:$A$21,0))</f>
        <v>37.26</v>
      </c>
      <c r="H10" s="11">
        <f t="shared" si="1"/>
        <v>57603.96</v>
      </c>
      <c r="I10" s="7">
        <f>INDEX('Product Master'!$G$2:$G$21,MATCH(A10,'Product Master'!$A$2:$A$21,0))</f>
        <v>120</v>
      </c>
      <c r="J10" s="7">
        <f>INDEX('Product Master'!$H$2:$H$21,MATCH(A10,'Product Master'!$A$2:$A$21,0))</f>
        <v>14</v>
      </c>
      <c r="K10" s="10">
        <f>INDEX('Product Master'!$I$2:$I$21,MATCH(A10,'Product Master'!$A$2:$A$21,0))</f>
        <v>56.17</v>
      </c>
      <c r="L10" s="12">
        <f>INDEX('Product Master'!$J$2:$J$21,MATCH(A10,'Product Master'!$A$2:$A$21,0))</f>
        <v>0.15</v>
      </c>
      <c r="M10" s="9">
        <f t="shared" si="2"/>
        <v>4.2356164383561641</v>
      </c>
      <c r="N10" s="8">
        <f t="shared" si="3"/>
        <v>11.85972602739726</v>
      </c>
      <c r="O10" s="8">
        <f t="shared" si="4"/>
        <v>71.158356164383562</v>
      </c>
      <c r="P10" s="20">
        <f t="shared" si="5"/>
        <v>176.28075412890919</v>
      </c>
      <c r="Q10" s="20">
        <f t="shared" si="6"/>
        <v>28.331177231565331</v>
      </c>
      <c r="R10" s="13" t="str">
        <f t="shared" si="7"/>
        <v>Monitor</v>
      </c>
      <c r="S10" s="7">
        <f t="shared" si="8"/>
        <v>4</v>
      </c>
      <c r="T10" s="14">
        <f t="shared" si="9"/>
        <v>0.2</v>
      </c>
      <c r="U10" s="7" t="str">
        <f t="shared" si="10"/>
        <v>A</v>
      </c>
      <c r="V10" s="9">
        <f t="shared" si="11"/>
        <v>71.158356164383562</v>
      </c>
      <c r="W10" s="7" t="str">
        <f t="shared" si="12"/>
        <v>No</v>
      </c>
      <c r="AC10" s="29" t="str">
        <f>INDEX($B$2:$B$21,MATCH(AD10,$H$2:$H$21,0))</f>
        <v>Cotton T-Shirt</v>
      </c>
      <c r="AD10" s="29">
        <f t="shared" si="13"/>
        <v>57603.96</v>
      </c>
    </row>
    <row r="11" spans="1:30">
      <c r="A11" s="7" t="str">
        <f>'Sales History'!A11</f>
        <v>P1009</v>
      </c>
      <c r="B11" s="7" t="str">
        <f>'Sales History'!B11</f>
        <v>Denim Jeans</v>
      </c>
      <c r="C11" s="8">
        <f>'Sales History'!Q11</f>
        <v>30.416666666666668</v>
      </c>
      <c r="D11" s="9">
        <f>_xlfn.FORECAST.LINEAR(13,'Sales History'!D11:O11,{1,2,3,4,5,6,7,8,9,10,11,12})</f>
        <v>30.166666666666668</v>
      </c>
      <c r="E11" s="7" t="str">
        <f>'Sales History'!C11</f>
        <v>Beauty &amp; Personal Care</v>
      </c>
      <c r="F11" s="7">
        <f t="shared" si="0"/>
        <v>365</v>
      </c>
      <c r="G11" s="10">
        <f>INDEX('Product Master'!$E$2:$E$21,MATCH(A11,'Product Master'!$A$2:$A$21,0))</f>
        <v>43.36</v>
      </c>
      <c r="H11" s="11">
        <f t="shared" si="1"/>
        <v>15826.4</v>
      </c>
      <c r="I11" s="7">
        <f>INDEX('Product Master'!$G$2:$G$21,MATCH(A11,'Product Master'!$A$2:$A$21,0))</f>
        <v>274</v>
      </c>
      <c r="J11" s="7">
        <f>INDEX('Product Master'!$H$2:$H$21,MATCH(A11,'Product Master'!$A$2:$A$21,0))</f>
        <v>14</v>
      </c>
      <c r="K11" s="10">
        <f>INDEX('Product Master'!$I$2:$I$21,MATCH(A11,'Product Master'!$A$2:$A$21,0))</f>
        <v>53.25</v>
      </c>
      <c r="L11" s="12">
        <f>INDEX('Product Master'!$J$2:$J$21,MATCH(A11,'Product Master'!$A$2:$A$21,0))</f>
        <v>0.26</v>
      </c>
      <c r="M11" s="9">
        <f t="shared" si="2"/>
        <v>1</v>
      </c>
      <c r="N11" s="8">
        <f t="shared" si="3"/>
        <v>2.8000000000000003</v>
      </c>
      <c r="O11" s="8">
        <f t="shared" si="4"/>
        <v>16.8</v>
      </c>
      <c r="P11" s="20">
        <f t="shared" si="5"/>
        <v>58.720524399970664</v>
      </c>
      <c r="Q11" s="20">
        <f t="shared" si="6"/>
        <v>274</v>
      </c>
      <c r="R11" s="13" t="str">
        <f t="shared" si="7"/>
        <v>Healthy</v>
      </c>
      <c r="S11" s="7">
        <f t="shared" si="8"/>
        <v>12</v>
      </c>
      <c r="T11" s="14">
        <f t="shared" si="9"/>
        <v>0.6</v>
      </c>
      <c r="U11" s="7" t="str">
        <f t="shared" si="10"/>
        <v>C</v>
      </c>
      <c r="V11" s="9">
        <f t="shared" si="11"/>
        <v>16.8</v>
      </c>
      <c r="W11" s="7" t="str">
        <f t="shared" si="12"/>
        <v>No</v>
      </c>
      <c r="Z11" s="24"/>
      <c r="AA11" s="24"/>
      <c r="AC11" s="29" t="str">
        <f>INDEX($B$2:$B$21,MATCH(AD11,$H$2:$H$21,0))</f>
        <v>Shampoo 400ml</v>
      </c>
      <c r="AD11" s="29">
        <f t="shared" si="13"/>
        <v>50385.209999999992</v>
      </c>
    </row>
    <row r="12" spans="1:30" ht="15.75">
      <c r="A12" s="7" t="str">
        <f>'Sales History'!A12</f>
        <v>P1010</v>
      </c>
      <c r="B12" s="7" t="str">
        <f>'Sales History'!B12</f>
        <v>Running Shoes</v>
      </c>
      <c r="C12" s="8">
        <f>'Sales History'!Q12</f>
        <v>147.58333333333334</v>
      </c>
      <c r="D12" s="9">
        <f>_xlfn.FORECAST.LINEAR(13,'Sales History'!D12:O12,{1,2,3,4,5,6,7,8,9,10,11,12})</f>
        <v>117.8787878787879</v>
      </c>
      <c r="E12" s="7" t="str">
        <f>'Sales History'!C12</f>
        <v>Electronics Accessories</v>
      </c>
      <c r="F12" s="7">
        <f t="shared" si="0"/>
        <v>1771</v>
      </c>
      <c r="G12" s="10">
        <f>INDEX('Product Master'!$E$2:$E$21,MATCH(A12,'Product Master'!$A$2:$A$21,0))</f>
        <v>4.17</v>
      </c>
      <c r="H12" s="11">
        <f t="shared" si="1"/>
        <v>7385.07</v>
      </c>
      <c r="I12" s="7">
        <f>INDEX('Product Master'!$G$2:$G$21,MATCH(A12,'Product Master'!$A$2:$A$21,0))</f>
        <v>324</v>
      </c>
      <c r="J12" s="7">
        <f>INDEX('Product Master'!$H$2:$H$21,MATCH(A12,'Product Master'!$A$2:$A$21,0))</f>
        <v>14</v>
      </c>
      <c r="K12" s="10">
        <f>INDEX('Product Master'!$I$2:$I$21,MATCH(A12,'Product Master'!$A$2:$A$21,0))</f>
        <v>35.229999999999997</v>
      </c>
      <c r="L12" s="12">
        <f>INDEX('Product Master'!$J$2:$J$21,MATCH(A12,'Product Master'!$A$2:$A$21,0))</f>
        <v>0.2</v>
      </c>
      <c r="M12" s="9">
        <f t="shared" si="2"/>
        <v>4.8520547945205479</v>
      </c>
      <c r="N12" s="8">
        <f t="shared" si="3"/>
        <v>13.585753424657534</v>
      </c>
      <c r="O12" s="8">
        <f t="shared" si="4"/>
        <v>81.51452054794521</v>
      </c>
      <c r="P12" s="20">
        <f t="shared" si="5"/>
        <v>386.80989450169506</v>
      </c>
      <c r="Q12" s="20">
        <f t="shared" si="6"/>
        <v>66.775832862789386</v>
      </c>
      <c r="R12" s="13" t="str">
        <f t="shared" si="7"/>
        <v>Healthy</v>
      </c>
      <c r="S12" s="7">
        <f t="shared" si="8"/>
        <v>20</v>
      </c>
      <c r="T12" s="14">
        <f t="shared" si="9"/>
        <v>1</v>
      </c>
      <c r="U12" s="7" t="str">
        <f t="shared" si="10"/>
        <v>C</v>
      </c>
      <c r="V12" s="9">
        <f t="shared" si="11"/>
        <v>81.51452054794521</v>
      </c>
      <c r="W12" s="7" t="str">
        <f t="shared" si="12"/>
        <v>No</v>
      </c>
      <c r="Z12" s="27" t="s">
        <v>97</v>
      </c>
      <c r="AA12" s="27" t="s">
        <v>103</v>
      </c>
    </row>
    <row r="13" spans="1:30">
      <c r="A13" s="7" t="str">
        <f>'Sales History'!A13</f>
        <v>P1011</v>
      </c>
      <c r="B13" s="7" t="str">
        <f>'Sales History'!B13</f>
        <v>Woolen Scarf</v>
      </c>
      <c r="C13" s="8">
        <f>'Sales History'!Q13</f>
        <v>141.91666666666666</v>
      </c>
      <c r="D13" s="9">
        <f>_xlfn.FORECAST.LINEAR(13,'Sales History'!D13:O13,{1,2,3,4,5,6,7,8,9,10,11,12})</f>
        <v>111.57575757575756</v>
      </c>
      <c r="E13" s="7" t="str">
        <f>'Sales History'!C13</f>
        <v>Home &amp; Kitchen</v>
      </c>
      <c r="F13" s="7">
        <f t="shared" si="0"/>
        <v>1703</v>
      </c>
      <c r="G13" s="10">
        <f>INDEX('Product Master'!$E$2:$E$21,MATCH(A13,'Product Master'!$A$2:$A$21,0))</f>
        <v>58.28</v>
      </c>
      <c r="H13" s="11">
        <f t="shared" si="1"/>
        <v>99250.84</v>
      </c>
      <c r="I13" s="7">
        <f>INDEX('Product Master'!$G$2:$G$21,MATCH(A13,'Product Master'!$A$2:$A$21,0))</f>
        <v>205</v>
      </c>
      <c r="J13" s="7">
        <f>INDEX('Product Master'!$H$2:$H$21,MATCH(A13,'Product Master'!$A$2:$A$21,0))</f>
        <v>21</v>
      </c>
      <c r="K13" s="10">
        <f>INDEX('Product Master'!$I$2:$I$21,MATCH(A13,'Product Master'!$A$2:$A$21,0))</f>
        <v>19.29</v>
      </c>
      <c r="L13" s="12">
        <f>INDEX('Product Master'!$J$2:$J$21,MATCH(A13,'Product Master'!$A$2:$A$21,0))</f>
        <v>0.21</v>
      </c>
      <c r="M13" s="9">
        <f t="shared" si="2"/>
        <v>4.6657534246575345</v>
      </c>
      <c r="N13" s="8">
        <f t="shared" si="3"/>
        <v>19.596164383561646</v>
      </c>
      <c r="O13" s="8">
        <f t="shared" si="4"/>
        <v>117.57698630136987</v>
      </c>
      <c r="P13" s="20">
        <f t="shared" si="5"/>
        <v>73.26878954322585</v>
      </c>
      <c r="Q13" s="20">
        <f t="shared" si="6"/>
        <v>43.937169700528479</v>
      </c>
      <c r="R13" s="13" t="str">
        <f t="shared" si="7"/>
        <v>Healthy</v>
      </c>
      <c r="S13" s="7">
        <f t="shared" si="8"/>
        <v>1</v>
      </c>
      <c r="T13" s="14">
        <f t="shared" si="9"/>
        <v>0.05</v>
      </c>
      <c r="U13" s="7" t="str">
        <f t="shared" si="10"/>
        <v>A</v>
      </c>
      <c r="V13" s="9">
        <f t="shared" si="11"/>
        <v>84.916712328767119</v>
      </c>
      <c r="W13" s="7" t="str">
        <f t="shared" si="12"/>
        <v>No</v>
      </c>
      <c r="Z13" s="25" t="s">
        <v>108</v>
      </c>
      <c r="AA13" s="26">
        <f>COUNTIF($R$2:$R$21,"Healthy")</f>
        <v>16</v>
      </c>
    </row>
    <row r="14" spans="1:30">
      <c r="A14" s="7" t="str">
        <f>'Sales History'!A14</f>
        <v>P1012</v>
      </c>
      <c r="B14" s="7" t="str">
        <f>'Sales History'!B14</f>
        <v>Basmati Rice 5kg</v>
      </c>
      <c r="C14" s="8">
        <f>'Sales History'!Q14</f>
        <v>103.16666666666667</v>
      </c>
      <c r="D14" s="9">
        <f>_xlfn.FORECAST.LINEAR(13,'Sales History'!D14:O14,{1,2,3,4,5,6,7,8,9,10,11,12})</f>
        <v>72.848484848484873</v>
      </c>
      <c r="E14" s="7" t="str">
        <f>'Sales History'!C14</f>
        <v>Apparel</v>
      </c>
      <c r="F14" s="7">
        <f t="shared" si="0"/>
        <v>1238</v>
      </c>
      <c r="G14" s="10">
        <f>INDEX('Product Master'!$E$2:$E$21,MATCH(A14,'Product Master'!$A$2:$A$21,0))</f>
        <v>50.45</v>
      </c>
      <c r="H14" s="11">
        <f t="shared" si="1"/>
        <v>62457.100000000006</v>
      </c>
      <c r="I14" s="7">
        <f>INDEX('Product Master'!$G$2:$G$21,MATCH(A14,'Product Master'!$A$2:$A$21,0))</f>
        <v>232</v>
      </c>
      <c r="J14" s="7">
        <f>INDEX('Product Master'!$H$2:$H$21,MATCH(A14,'Product Master'!$A$2:$A$21,0))</f>
        <v>5</v>
      </c>
      <c r="K14" s="10">
        <f>INDEX('Product Master'!$I$2:$I$21,MATCH(A14,'Product Master'!$A$2:$A$21,0))</f>
        <v>31.69</v>
      </c>
      <c r="L14" s="12">
        <f>INDEX('Product Master'!$J$2:$J$21,MATCH(A14,'Product Master'!$A$2:$A$21,0))</f>
        <v>0.23</v>
      </c>
      <c r="M14" s="9">
        <f t="shared" si="2"/>
        <v>3.3917808219178083</v>
      </c>
      <c r="N14" s="8">
        <f t="shared" si="3"/>
        <v>3.3917808219178087</v>
      </c>
      <c r="O14" s="8">
        <f t="shared" si="4"/>
        <v>20.350684931506851</v>
      </c>
      <c r="P14" s="20">
        <f t="shared" si="5"/>
        <v>82.232205142181272</v>
      </c>
      <c r="Q14" s="20">
        <f t="shared" si="6"/>
        <v>68.400646203554118</v>
      </c>
      <c r="R14" s="13" t="str">
        <f t="shared" si="7"/>
        <v>Healthy</v>
      </c>
      <c r="S14" s="7">
        <f t="shared" si="8"/>
        <v>3</v>
      </c>
      <c r="T14" s="14">
        <f t="shared" si="9"/>
        <v>0.15</v>
      </c>
      <c r="U14" s="7" t="str">
        <f t="shared" si="10"/>
        <v>A</v>
      </c>
      <c r="V14" s="9">
        <f t="shared" si="11"/>
        <v>50.87671232876712</v>
      </c>
      <c r="W14" s="7" t="str">
        <f t="shared" si="12"/>
        <v>No</v>
      </c>
      <c r="Z14" s="25" t="s">
        <v>109</v>
      </c>
      <c r="AA14" s="26">
        <f>COUNTIF($R$2:$R$21,"Monitor")</f>
        <v>2</v>
      </c>
    </row>
    <row r="15" spans="1:30">
      <c r="A15" s="7" t="str">
        <f>'Sales History'!A15</f>
        <v>P1013</v>
      </c>
      <c r="B15" s="7" t="str">
        <f>'Sales History'!B15</f>
        <v>Cooking Oil 1L</v>
      </c>
      <c r="C15" s="8">
        <f>'Sales History'!Q15</f>
        <v>129.5</v>
      </c>
      <c r="D15" s="9">
        <f>_xlfn.FORECAST.LINEAR(13,'Sales History'!D15:O15,{1,2,3,4,5,6,7,8,9,10,11,12})</f>
        <v>170.36363636363637</v>
      </c>
      <c r="E15" s="7" t="str">
        <f>'Sales History'!C15</f>
        <v>Grocery</v>
      </c>
      <c r="F15" s="7">
        <f t="shared" si="0"/>
        <v>1554</v>
      </c>
      <c r="G15" s="10">
        <f>INDEX('Product Master'!$E$2:$E$21,MATCH(A15,'Product Master'!$A$2:$A$21,0))</f>
        <v>15.1</v>
      </c>
      <c r="H15" s="11">
        <f t="shared" si="1"/>
        <v>23465.399999999998</v>
      </c>
      <c r="I15" s="7">
        <f>INDEX('Product Master'!$G$2:$G$21,MATCH(A15,'Product Master'!$A$2:$A$21,0))</f>
        <v>58</v>
      </c>
      <c r="J15" s="7">
        <f>INDEX('Product Master'!$H$2:$H$21,MATCH(A15,'Product Master'!$A$2:$A$21,0))</f>
        <v>21</v>
      </c>
      <c r="K15" s="10">
        <f>INDEX('Product Master'!$I$2:$I$21,MATCH(A15,'Product Master'!$A$2:$A$21,0))</f>
        <v>45.1</v>
      </c>
      <c r="L15" s="12">
        <f>INDEX('Product Master'!$J$2:$J$21,MATCH(A15,'Product Master'!$A$2:$A$21,0))</f>
        <v>0.14000000000000001</v>
      </c>
      <c r="M15" s="9">
        <f t="shared" si="2"/>
        <v>4.2575342465753421</v>
      </c>
      <c r="N15" s="8">
        <f t="shared" si="3"/>
        <v>17.881643835616437</v>
      </c>
      <c r="O15" s="8">
        <f t="shared" si="4"/>
        <v>107.28986301369861</v>
      </c>
      <c r="P15" s="20">
        <f t="shared" si="5"/>
        <v>257.49943740695949</v>
      </c>
      <c r="Q15" s="20">
        <f t="shared" si="6"/>
        <v>13.622908622908625</v>
      </c>
      <c r="R15" s="13" t="str">
        <f t="shared" si="7"/>
        <v>Reorder Now</v>
      </c>
      <c r="S15" s="7">
        <f t="shared" si="8"/>
        <v>10</v>
      </c>
      <c r="T15" s="14">
        <f t="shared" si="9"/>
        <v>0.5</v>
      </c>
      <c r="U15" s="7" t="str">
        <f t="shared" si="10"/>
        <v>B</v>
      </c>
      <c r="V15" s="9">
        <f t="shared" si="11"/>
        <v>77.487123287671224</v>
      </c>
      <c r="W15" s="7" t="str">
        <f t="shared" si="12"/>
        <v>Yes</v>
      </c>
      <c r="Z15" s="25" t="s">
        <v>110</v>
      </c>
      <c r="AA15" s="26">
        <f>COUNTIF($R$2:$R$21,"Reorder Now")</f>
        <v>2</v>
      </c>
    </row>
    <row r="16" spans="1:30">
      <c r="A16" s="7" t="str">
        <f>'Sales History'!A16</f>
        <v>P1014</v>
      </c>
      <c r="B16" s="7" t="str">
        <f>'Sales History'!B16</f>
        <v>Green Tea Pack</v>
      </c>
      <c r="C16" s="8">
        <f>'Sales History'!Q16</f>
        <v>94.583333333333329</v>
      </c>
      <c r="D16" s="9">
        <f>_xlfn.FORECAST.LINEAR(13,'Sales History'!D16:O16,{1,2,3,4,5,6,7,8,9,10,11,12})</f>
        <v>93.060606060606048</v>
      </c>
      <c r="E16" s="7" t="str">
        <f>'Sales History'!C16</f>
        <v>Beauty &amp; Personal Care</v>
      </c>
      <c r="F16" s="7">
        <f t="shared" si="0"/>
        <v>1135</v>
      </c>
      <c r="G16" s="10">
        <f>INDEX('Product Master'!$E$2:$E$21,MATCH(A16,'Product Master'!$A$2:$A$21,0))</f>
        <v>13.36</v>
      </c>
      <c r="H16" s="11">
        <f t="shared" si="1"/>
        <v>15163.599999999999</v>
      </c>
      <c r="I16" s="7">
        <f>INDEX('Product Master'!$G$2:$G$21,MATCH(A16,'Product Master'!$A$2:$A$21,0))</f>
        <v>176</v>
      </c>
      <c r="J16" s="7">
        <f>INDEX('Product Master'!$H$2:$H$21,MATCH(A16,'Product Master'!$A$2:$A$21,0))</f>
        <v>21</v>
      </c>
      <c r="K16" s="10">
        <f>INDEX('Product Master'!$I$2:$I$21,MATCH(A16,'Product Master'!$A$2:$A$21,0))</f>
        <v>44.97</v>
      </c>
      <c r="L16" s="12">
        <f>INDEX('Product Master'!$J$2:$J$21,MATCH(A16,'Product Master'!$A$2:$A$21,0))</f>
        <v>0.22</v>
      </c>
      <c r="M16" s="9">
        <f t="shared" si="2"/>
        <v>3.1095890410958904</v>
      </c>
      <c r="N16" s="8">
        <f t="shared" si="3"/>
        <v>13.060273972602742</v>
      </c>
      <c r="O16" s="8">
        <f t="shared" si="4"/>
        <v>78.361643835616448</v>
      </c>
      <c r="P16" s="20">
        <f t="shared" si="5"/>
        <v>186.36304718629066</v>
      </c>
      <c r="Q16" s="20">
        <f t="shared" si="6"/>
        <v>56.59911894273128</v>
      </c>
      <c r="R16" s="13" t="str">
        <f t="shared" si="7"/>
        <v>Healthy</v>
      </c>
      <c r="S16" s="7">
        <f t="shared" si="8"/>
        <v>13</v>
      </c>
      <c r="T16" s="14">
        <f t="shared" si="9"/>
        <v>0.65</v>
      </c>
      <c r="U16" s="7" t="str">
        <f t="shared" si="10"/>
        <v>C</v>
      </c>
      <c r="V16" s="9">
        <f t="shared" si="11"/>
        <v>56.594520547945208</v>
      </c>
      <c r="W16" s="7" t="str">
        <f t="shared" si="12"/>
        <v>No</v>
      </c>
    </row>
    <row r="17" spans="1:23">
      <c r="A17" s="7" t="str">
        <f>'Sales History'!A17</f>
        <v>P1015</v>
      </c>
      <c r="B17" s="7" t="str">
        <f>'Sales History'!B17</f>
        <v>Breakfast Cereal</v>
      </c>
      <c r="C17" s="8">
        <f>'Sales History'!Q17</f>
        <v>90.5</v>
      </c>
      <c r="D17" s="9">
        <f>_xlfn.FORECAST.LINEAR(13,'Sales History'!D17:O17,{1,2,3,4,5,6,7,8,9,10,11,12})</f>
        <v>98.863636363636374</v>
      </c>
      <c r="E17" s="7" t="str">
        <f>'Sales History'!C17</f>
        <v>Electronics Accessories</v>
      </c>
      <c r="F17" s="7">
        <f t="shared" si="0"/>
        <v>1086</v>
      </c>
      <c r="G17" s="10">
        <f>INDEX('Product Master'!$E$2:$E$21,MATCH(A17,'Product Master'!$A$2:$A$21,0))</f>
        <v>13.45</v>
      </c>
      <c r="H17" s="11">
        <f t="shared" si="1"/>
        <v>14606.699999999999</v>
      </c>
      <c r="I17" s="7">
        <f>INDEX('Product Master'!$G$2:$G$21,MATCH(A17,'Product Master'!$A$2:$A$21,0))</f>
        <v>216</v>
      </c>
      <c r="J17" s="7">
        <f>INDEX('Product Master'!$H$2:$H$21,MATCH(A17,'Product Master'!$A$2:$A$21,0))</f>
        <v>5</v>
      </c>
      <c r="K17" s="10">
        <f>INDEX('Product Master'!$I$2:$I$21,MATCH(A17,'Product Master'!$A$2:$A$21,0))</f>
        <v>41.61</v>
      </c>
      <c r="L17" s="12">
        <f>INDEX('Product Master'!$J$2:$J$21,MATCH(A17,'Product Master'!$A$2:$A$21,0))</f>
        <v>0.21</v>
      </c>
      <c r="M17" s="9">
        <f t="shared" si="2"/>
        <v>2.9753424657534246</v>
      </c>
      <c r="N17" s="8">
        <f t="shared" si="3"/>
        <v>2.9753424657534246</v>
      </c>
      <c r="O17" s="8">
        <f t="shared" si="4"/>
        <v>17.852054794520548</v>
      </c>
      <c r="P17" s="20">
        <f t="shared" si="5"/>
        <v>178.87843179561065</v>
      </c>
      <c r="Q17" s="20">
        <f t="shared" si="6"/>
        <v>72.596685082872924</v>
      </c>
      <c r="R17" s="13" t="str">
        <f t="shared" si="7"/>
        <v>Healthy</v>
      </c>
      <c r="S17" s="7">
        <f t="shared" si="8"/>
        <v>14</v>
      </c>
      <c r="T17" s="14">
        <f t="shared" si="9"/>
        <v>0.7</v>
      </c>
      <c r="U17" s="7" t="str">
        <f t="shared" si="10"/>
        <v>C</v>
      </c>
      <c r="V17" s="9">
        <f t="shared" si="11"/>
        <v>44.630136986301366</v>
      </c>
      <c r="W17" s="7" t="str">
        <f t="shared" si="12"/>
        <v>No</v>
      </c>
    </row>
    <row r="18" spans="1:23">
      <c r="A18" s="7" t="str">
        <f>'Sales History'!A18</f>
        <v>P1016</v>
      </c>
      <c r="B18" s="7" t="str">
        <f>'Sales History'!B18</f>
        <v>Face Moisturizer</v>
      </c>
      <c r="C18" s="8">
        <f>'Sales History'!Q18</f>
        <v>38.75</v>
      </c>
      <c r="D18" s="9">
        <f>_xlfn.FORECAST.LINEAR(13,'Sales History'!D18:O18,{1,2,3,4,5,6,7,8,9,10,11,12})</f>
        <v>41.227272727272727</v>
      </c>
      <c r="E18" s="7" t="str">
        <f>'Sales History'!C18</f>
        <v>Home &amp; Kitchen</v>
      </c>
      <c r="F18" s="7">
        <f t="shared" si="0"/>
        <v>465</v>
      </c>
      <c r="G18" s="10">
        <f>INDEX('Product Master'!$E$2:$E$21,MATCH(A18,'Product Master'!$A$2:$A$21,0))</f>
        <v>20.34</v>
      </c>
      <c r="H18" s="11">
        <f t="shared" si="1"/>
        <v>9458.1</v>
      </c>
      <c r="I18" s="7">
        <f>INDEX('Product Master'!$G$2:$G$21,MATCH(A18,'Product Master'!$A$2:$A$21,0))</f>
        <v>284</v>
      </c>
      <c r="J18" s="7">
        <f>INDEX('Product Master'!$H$2:$H$21,MATCH(A18,'Product Master'!$A$2:$A$21,0))</f>
        <v>5</v>
      </c>
      <c r="K18" s="10">
        <f>INDEX('Product Master'!$I$2:$I$21,MATCH(A18,'Product Master'!$A$2:$A$21,0))</f>
        <v>27.36</v>
      </c>
      <c r="L18" s="12">
        <f>INDEX('Product Master'!$J$2:$J$21,MATCH(A18,'Product Master'!$A$2:$A$21,0))</f>
        <v>0.15</v>
      </c>
      <c r="M18" s="9">
        <f t="shared" si="2"/>
        <v>1.273972602739726</v>
      </c>
      <c r="N18" s="8">
        <f t="shared" si="3"/>
        <v>1.2739726027397262</v>
      </c>
      <c r="O18" s="8">
        <f t="shared" si="4"/>
        <v>7.6438356164383565</v>
      </c>
      <c r="P18" s="20">
        <f t="shared" si="5"/>
        <v>91.322631416585665</v>
      </c>
      <c r="Q18" s="20">
        <f t="shared" si="6"/>
        <v>222.92473118279571</v>
      </c>
      <c r="R18" s="13" t="str">
        <f t="shared" si="7"/>
        <v>Healthy</v>
      </c>
      <c r="S18" s="7">
        <f t="shared" si="8"/>
        <v>16</v>
      </c>
      <c r="T18" s="14">
        <f t="shared" si="9"/>
        <v>0.8</v>
      </c>
      <c r="U18" s="7" t="str">
        <f t="shared" si="10"/>
        <v>C</v>
      </c>
      <c r="V18" s="9">
        <f t="shared" si="11"/>
        <v>19.109589041095891</v>
      </c>
      <c r="W18" s="7" t="str">
        <f t="shared" si="12"/>
        <v>No</v>
      </c>
    </row>
    <row r="19" spans="1:23">
      <c r="A19" s="7" t="str">
        <f>'Sales History'!A19</f>
        <v>P1017</v>
      </c>
      <c r="B19" s="7" t="str">
        <f>'Sales History'!B19</f>
        <v>Shampoo 400ml</v>
      </c>
      <c r="C19" s="8">
        <f>'Sales History'!Q19</f>
        <v>127.58333333333333</v>
      </c>
      <c r="D19" s="9">
        <f>_xlfn.FORECAST.LINEAR(13,'Sales History'!D19:O19,{1,2,3,4,5,6,7,8,9,10,11,12})</f>
        <v>171.78787878787881</v>
      </c>
      <c r="E19" s="7" t="str">
        <f>'Sales History'!C19</f>
        <v>Apparel</v>
      </c>
      <c r="F19" s="7">
        <f t="shared" si="0"/>
        <v>1531</v>
      </c>
      <c r="G19" s="10">
        <f>INDEX('Product Master'!$E$2:$E$21,MATCH(A19,'Product Master'!$A$2:$A$21,0))</f>
        <v>32.909999999999997</v>
      </c>
      <c r="H19" s="11">
        <f t="shared" si="1"/>
        <v>50385.209999999992</v>
      </c>
      <c r="I19" s="7">
        <f>INDEX('Product Master'!$G$2:$G$21,MATCH(A19,'Product Master'!$A$2:$A$21,0))</f>
        <v>365</v>
      </c>
      <c r="J19" s="7">
        <f>INDEX('Product Master'!$H$2:$H$21,MATCH(A19,'Product Master'!$A$2:$A$21,0))</f>
        <v>5</v>
      </c>
      <c r="K19" s="10">
        <f>INDEX('Product Master'!$I$2:$I$21,MATCH(A19,'Product Master'!$A$2:$A$21,0))</f>
        <v>40.26</v>
      </c>
      <c r="L19" s="12">
        <f>INDEX('Product Master'!$J$2:$J$21,MATCH(A19,'Product Master'!$A$2:$A$21,0))</f>
        <v>0.27</v>
      </c>
      <c r="M19" s="9">
        <f t="shared" si="2"/>
        <v>4.1945205479452055</v>
      </c>
      <c r="N19" s="8">
        <f t="shared" si="3"/>
        <v>4.1945205479452055</v>
      </c>
      <c r="O19" s="8">
        <f t="shared" si="4"/>
        <v>25.167123287671235</v>
      </c>
      <c r="P19" s="20">
        <f t="shared" si="5"/>
        <v>117.78599506181531</v>
      </c>
      <c r="Q19" s="20">
        <f t="shared" si="6"/>
        <v>87.018288700195953</v>
      </c>
      <c r="R19" s="13" t="str">
        <f t="shared" si="7"/>
        <v>Healthy</v>
      </c>
      <c r="S19" s="7">
        <f t="shared" si="8"/>
        <v>5</v>
      </c>
      <c r="T19" s="14">
        <f t="shared" si="9"/>
        <v>0.25</v>
      </c>
      <c r="U19" s="7" t="str">
        <f t="shared" si="10"/>
        <v>B</v>
      </c>
      <c r="V19" s="9">
        <f t="shared" si="11"/>
        <v>62.917808219178077</v>
      </c>
      <c r="W19" s="7" t="str">
        <f t="shared" si="12"/>
        <v>No</v>
      </c>
    </row>
    <row r="20" spans="1:23">
      <c r="A20" s="7" t="str">
        <f>'Sales History'!A20</f>
        <v>P1018</v>
      </c>
      <c r="B20" s="7" t="str">
        <f>'Sales History'!B20</f>
        <v>Hand Wash 250ml</v>
      </c>
      <c r="C20" s="8">
        <f>'Sales History'!Q20</f>
        <v>127.25</v>
      </c>
      <c r="D20" s="9">
        <f>_xlfn.FORECAST.LINEAR(13,'Sales History'!D20:O20,{1,2,3,4,5,6,7,8,9,10,11,12})</f>
        <v>171.45454545454544</v>
      </c>
      <c r="E20" s="7" t="str">
        <f>'Sales History'!C20</f>
        <v>Grocery</v>
      </c>
      <c r="F20" s="7">
        <f t="shared" si="0"/>
        <v>1527</v>
      </c>
      <c r="G20" s="10">
        <f>INDEX('Product Master'!$E$2:$E$21,MATCH(A20,'Product Master'!$A$2:$A$21,0))</f>
        <v>27.62</v>
      </c>
      <c r="H20" s="11">
        <f t="shared" si="1"/>
        <v>42175.74</v>
      </c>
      <c r="I20" s="7">
        <f>INDEX('Product Master'!$G$2:$G$21,MATCH(A20,'Product Master'!$A$2:$A$21,0))</f>
        <v>318</v>
      </c>
      <c r="J20" s="7">
        <f>INDEX('Product Master'!$H$2:$H$21,MATCH(A20,'Product Master'!$A$2:$A$21,0))</f>
        <v>5</v>
      </c>
      <c r="K20" s="10">
        <f>INDEX('Product Master'!$I$2:$I$21,MATCH(A20,'Product Master'!$A$2:$A$21,0))</f>
        <v>32.229999999999997</v>
      </c>
      <c r="L20" s="12">
        <f>INDEX('Product Master'!$J$2:$J$21,MATCH(A20,'Product Master'!$A$2:$A$21,0))</f>
        <v>0.22</v>
      </c>
      <c r="M20" s="9">
        <f t="shared" si="2"/>
        <v>4.183561643835616</v>
      </c>
      <c r="N20" s="8">
        <f t="shared" si="3"/>
        <v>4.183561643835616</v>
      </c>
      <c r="O20" s="8">
        <f t="shared" si="4"/>
        <v>25.101369863013698</v>
      </c>
      <c r="P20" s="20">
        <f t="shared" si="5"/>
        <v>127.27452696283463</v>
      </c>
      <c r="Q20" s="20">
        <f t="shared" si="6"/>
        <v>76.011787819253442</v>
      </c>
      <c r="R20" s="13" t="str">
        <f t="shared" si="7"/>
        <v>Healthy</v>
      </c>
      <c r="S20" s="7">
        <f t="shared" si="8"/>
        <v>7</v>
      </c>
      <c r="T20" s="14">
        <f t="shared" si="9"/>
        <v>0.35</v>
      </c>
      <c r="U20" s="7" t="str">
        <f t="shared" si="10"/>
        <v>B</v>
      </c>
      <c r="V20" s="9">
        <f t="shared" si="11"/>
        <v>62.753424657534239</v>
      </c>
      <c r="W20" s="7" t="str">
        <f t="shared" si="12"/>
        <v>No</v>
      </c>
    </row>
    <row r="21" spans="1:23">
      <c r="A21" s="7" t="str">
        <f>'Sales History'!A21</f>
        <v>P1019</v>
      </c>
      <c r="B21" s="7" t="str">
        <f>'Sales History'!B21</f>
        <v>Lip Balm Pack</v>
      </c>
      <c r="C21" s="8">
        <f>'Sales History'!Q21</f>
        <v>37.916666666666664</v>
      </c>
      <c r="D21" s="9">
        <f>_xlfn.FORECAST.LINEAR(13,'Sales History'!D21:O21,{1,2,3,4,5,6,7,8,9,10,11,12})</f>
        <v>25.666666666666664</v>
      </c>
      <c r="E21" s="7" t="str">
        <f>'Sales History'!C21</f>
        <v>Beauty &amp; Personal Care</v>
      </c>
      <c r="F21" s="7">
        <f t="shared" si="0"/>
        <v>455</v>
      </c>
      <c r="G21" s="10">
        <f>INDEX('Product Master'!$E$2:$E$21,MATCH(A21,'Product Master'!$A$2:$A$21,0))</f>
        <v>19.600000000000001</v>
      </c>
      <c r="H21" s="11">
        <f t="shared" si="1"/>
        <v>8918</v>
      </c>
      <c r="I21" s="7">
        <f>INDEX('Product Master'!$G$2:$G$21,MATCH(A21,'Product Master'!$A$2:$A$21,0))</f>
        <v>285</v>
      </c>
      <c r="J21" s="7">
        <f>INDEX('Product Master'!$H$2:$H$21,MATCH(A21,'Product Master'!$A$2:$A$21,0))</f>
        <v>14</v>
      </c>
      <c r="K21" s="10">
        <f>INDEX('Product Master'!$I$2:$I$21,MATCH(A21,'Product Master'!$A$2:$A$21,0))</f>
        <v>58.73</v>
      </c>
      <c r="L21" s="12">
        <f>INDEX('Product Master'!$J$2:$J$21,MATCH(A21,'Product Master'!$A$2:$A$21,0))</f>
        <v>0.23</v>
      </c>
      <c r="M21" s="9">
        <f t="shared" si="2"/>
        <v>1.2465753424657535</v>
      </c>
      <c r="N21" s="8">
        <f t="shared" si="3"/>
        <v>3.4904109589041101</v>
      </c>
      <c r="O21" s="8">
        <f t="shared" si="4"/>
        <v>20.94246575342466</v>
      </c>
      <c r="P21" s="20">
        <f t="shared" si="5"/>
        <v>108.88266520713337</v>
      </c>
      <c r="Q21" s="20">
        <f t="shared" si="6"/>
        <v>228.62637362637361</v>
      </c>
      <c r="R21" s="13" t="str">
        <f t="shared" si="7"/>
        <v>Healthy</v>
      </c>
      <c r="S21" s="7">
        <f t="shared" si="8"/>
        <v>17</v>
      </c>
      <c r="T21" s="14">
        <f t="shared" si="9"/>
        <v>0.85</v>
      </c>
      <c r="U21" s="7" t="str">
        <f t="shared" si="10"/>
        <v>C</v>
      </c>
      <c r="V21" s="9">
        <f t="shared" si="11"/>
        <v>20.94246575342466</v>
      </c>
      <c r="W21" s="7" t="str">
        <f t="shared" si="12"/>
        <v>No</v>
      </c>
    </row>
    <row r="22" spans="1:23">
      <c r="N22" s="8"/>
    </row>
  </sheetData>
  <conditionalFormatting sqref="R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1">
    <cfRule type="cellIs" dxfId="3" priority="4" operator="equal">
      <formula>"Healthy"</formula>
    </cfRule>
  </conditionalFormatting>
  <conditionalFormatting sqref="R2:R21">
    <cfRule type="cellIs" dxfId="2" priority="3" operator="equal">
      <formula>"Monitor"</formula>
    </cfRule>
  </conditionalFormatting>
  <conditionalFormatting sqref="R2:R21">
    <cfRule type="cellIs" dxfId="1" priority="2" operator="equal">
      <formula>"Reorder Now"</formula>
    </cfRule>
  </conditionalFormatting>
  <conditionalFormatting sqref="W2:W20">
    <cfRule type="cellIs" dxfId="0" priority="1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2026-09-12T11:16:53Z</dcterms:created>
  <dcterms:modified xsi:type="dcterms:W3CDTF">2026-09-12T14:51:41Z</dcterms:modified>
  <cp:category/>
  <cp:contentStatus/>
</cp:coreProperties>
</file>